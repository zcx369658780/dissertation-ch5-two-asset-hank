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a27e4cca7c48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修订对照" sheetId="1" r:id="R079f3f97e53a447d"/>
    <x:sheet xmlns:r="http://schemas.openxmlformats.org/officeDocument/2006/relationships" name="来源与候选" sheetId="2" r:id="R24f8969c5dde46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"/>
    <x:numFmt numFmtId="201" formatCode="0.00%"/>
    <x:numFmt numFmtId="202" formatCode="#,##0"/>
    <x:numFmt numFmtId="203" formatCode="#,##0.00"/>
    <x:numFmt numFmtId="204" formatCode="0"/>
  </x:numFmts>
  <x:fonts count="5">
    <x:font>
      <x:sz val="11"/>
      <x:name val="Carlito"/>
    </x:font>
    <x:font>
      <x:sz val="11"/>
      <x:color rgb="FF222222"/>
      <x:name val="Arial"/>
    </x:font>
    <x:font>
      <x:b/>
      <x:sz val="16"/>
      <x:color rgb="FF222222"/>
      <x:name val="Arial"/>
    </x:font>
    <x:font>
      <x:sz val="11"/>
      <x:color rgb="FF9A5C00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0465D"/>
      </x:patternFill>
    </x:fill>
    <x:fill>
      <x:patternFill patternType="solid">
        <x:fgColor rgb="FFF1F4F7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000c7422624f20" /><Relationship Type="http://schemas.openxmlformats.org/officeDocument/2006/relationships/theme" Target="/xl/theme/theme1.xml" Id="R65b23605040c4103" /><Relationship Type="http://schemas.openxmlformats.org/officeDocument/2006/relationships/sharedStrings" Target="/xl/sharedStrings.xml" Id="R23c46a28115b4376" /><Relationship Type="http://schemas.openxmlformats.org/officeDocument/2006/relationships/worksheet" Target="/xl/worksheets/sheet1.xml" Id="R079f3f97e53a447d" /><Relationship Type="http://schemas.openxmlformats.org/officeDocument/2006/relationships/worksheet" Target="/xl/worksheets/sheet2.xml" Id="R24f8969c5dde46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0465D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3" hidden="0" customWidth="1"/>
    <x:col min="2" max="2" width="9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3" t="str">
        <x:v>第五章省级数据修订对照｜2015—2018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31省 × 4年；GDP 124项版本差异，人口0项差异。采集日：2026-09-30。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4" t="str">
        <x:v>独立数据候选；未接入模型、未重新校准。GDP价格与发布版本的精确绑定仍待核实。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>
      <x:c r="A5" s="2" t="str">
        <x:v>人均代理 = 10000 × GDP（亿元）÷ 年末常住人口（万人）；不同于年平均人口口径的官方人均GDP。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43" customHeight="1">
      <x:c r="A7" s="8" t="str">
        <x:v>省份</x:v>
      </x:c>
      <x:c r="B7" s="8" t="str">
        <x:v>年份</x:v>
      </x:c>
      <x:c r="C7" s="8" t="str">
        <x:v>旧GDP
亿元</x:v>
      </x:c>
      <x:c r="D7" s="8" t="str">
        <x:v>新版GDP
亿元</x:v>
      </x:c>
      <x:c r="E7" s="8" t="str">
        <x:v>GDP差额
亿元</x:v>
      </x:c>
      <x:c r="F7" s="8" t="str">
        <x:v>GDP变幅</x:v>
      </x:c>
      <x:c r="G7" s="8" t="str">
        <x:v>旧人口
万人</x:v>
      </x:c>
      <x:c r="H7" s="8" t="str">
        <x:v>新版人口
万人</x:v>
      </x:c>
      <x:c r="I7" s="8" t="str">
        <x:v>人口差额
万人</x:v>
      </x:c>
      <x:c r="J7" s="8" t="str">
        <x:v>旧人均代理
元/人</x:v>
      </x:c>
      <x:c r="K7" s="8" t="str">
        <x:v>新人均代理
元/人</x:v>
      </x:c>
      <x:c r="L7" s="8" t="str">
        <x:v>代理差额
元/人</x:v>
      </x:c>
      <x:c r="M7" s="8" t="str">
        <x:v>来源编号</x:v>
      </x:c>
    </x:row>
    <x:row r="8" ht="24" customHeight="1">
      <x:c r="A8" s="14" t="str">
        <x:v>北京市</x:v>
      </x:c>
      <x:c r="B8" s="15" t="n">
        <x:v>2015</x:v>
      </x:c>
      <x:c r="C8" s="16" t="n">
        <x:v>24779.1</x:v>
      </x:c>
      <x:c r="D8" s="16" t="n">
        <x:v>26034.1</x:v>
      </x:c>
      <x:c r="E8" s="16" t="n">
        <x:f>D8-C8</x:f>
        <x:v>1255</x:v>
      </x:c>
      <x:c r="F8" s="17" t="n">
        <x:f>E8/C8</x:f>
        <x:v>0.05064752149997377</x:v>
      </x:c>
      <x:c r="G8" s="18" t="n">
        <x:v>2188</x:v>
      </x:c>
      <x:c r="H8" s="18" t="n">
        <x:v>2188</x:v>
      </x:c>
      <x:c r="I8" s="18" t="n">
        <x:f>H8-G8</x:f>
        <x:v>0</x:v>
      </x:c>
      <x:c r="J8" s="19" t="n">
        <x:f>10000*C8/G8</x:f>
        <x:v>113250</x:v>
      </x:c>
      <x:c r="K8" s="19" t="n">
        <x:f>10000*D8/H8</x:f>
        <x:v>118985.83180987203</x:v>
      </x:c>
      <x:c r="L8" s="19" t="n">
        <x:f>K8-J8</x:f>
        <x:v>5735.831809872034</x:v>
      </x:c>
      <x:c r="M8" s="14" t="str">
        <x:v>S1–S4</x:v>
      </x:c>
    </x:row>
    <x:row r="9" ht="24" customHeight="1">
      <x:c r="A9" s="14" t="str">
        <x:v>北京市</x:v>
      </x:c>
      <x:c r="B9" s="15" t="n">
        <x:v>2016</x:v>
      </x:c>
      <x:c r="C9" s="16" t="n">
        <x:v>27041.2</x:v>
      </x:c>
      <x:c r="D9" s="16" t="n">
        <x:v>28438.7</x:v>
      </x:c>
      <x:c r="E9" s="16" t="n">
        <x:f>D9-C9</x:f>
        <x:v>1397.5</x:v>
      </x:c>
      <x:c r="F9" s="17" t="n">
        <x:f>E9/C9</x:f>
        <x:v>0.05168039879886987</x:v>
      </x:c>
      <x:c r="G9" s="18" t="n">
        <x:v>2195</x:v>
      </x:c>
      <x:c r="H9" s="18" t="n">
        <x:v>2195</x:v>
      </x:c>
      <x:c r="I9" s="18" t="n">
        <x:f>H9-G9</x:f>
        <x:v>0</x:v>
      </x:c>
      <x:c r="J9" s="19" t="n">
        <x:f>10000*C9/G9</x:f>
        <x:v>123194.53302961275</x:v>
      </x:c>
      <x:c r="K9" s="19" t="n">
        <x:f>10000*D9/H9</x:f>
        <x:v>129561.2756264237</x:v>
      </x:c>
      <x:c r="L9" s="19" t="n">
        <x:f>K9-J9</x:f>
        <x:v>6366.7425968109455</x:v>
      </x:c>
      <x:c r="M9" s="14" t="str">
        <x:v>S1–S4</x:v>
      </x:c>
    </x:row>
    <x:row r="10" ht="24" customHeight="1">
      <x:c r="A10" s="14" t="str">
        <x:v>北京市</x:v>
      </x:c>
      <x:c r="B10" s="15" t="n">
        <x:v>2017</x:v>
      </x:c>
      <x:c r="C10" s="16" t="n">
        <x:v>29883</x:v>
      </x:c>
      <x:c r="D10" s="16" t="n">
        <x:v>31325.9</x:v>
      </x:c>
      <x:c r="E10" s="16" t="n">
        <x:f>D10-C10</x:f>
        <x:v>1442.9000000000015</x:v>
      </x:c>
      <x:c r="F10" s="17" t="n">
        <x:f>E10/C10</x:f>
        <x:v>0.04828497808118333</x:v>
      </x:c>
      <x:c r="G10" s="18" t="n">
        <x:v>2194</x:v>
      </x:c>
      <x:c r="H10" s="18" t="n">
        <x:v>2194</x:v>
      </x:c>
      <x:c r="I10" s="18" t="n">
        <x:f>H10-G10</x:f>
        <x:v>0</x:v>
      </x:c>
      <x:c r="J10" s="19" t="n">
        <x:f>10000*C10/G10</x:f>
        <x:v>136203.28167730174</x:v>
      </x:c>
      <x:c r="K10" s="19" t="n">
        <x:f>10000*D10/H10</x:f>
        <x:v>142779.85414767548</x:v>
      </x:c>
      <x:c r="L10" s="19" t="n">
        <x:f>K10-J10</x:f>
        <x:v>6576.572470373736</x:v>
      </x:c>
      <x:c r="M10" s="14" t="str">
        <x:v>S1–S4</x:v>
      </x:c>
    </x:row>
    <x:row r="11" ht="24" customHeight="1">
      <x:c r="A11" s="14" t="str">
        <x:v>北京市</x:v>
      </x:c>
      <x:c r="B11" s="15" t="n">
        <x:v>2018</x:v>
      </x:c>
      <x:c r="C11" s="16" t="n">
        <x:v>33106</x:v>
      </x:c>
      <x:c r="D11" s="16" t="n">
        <x:v>35161.4</x:v>
      </x:c>
      <x:c r="E11" s="16" t="n">
        <x:f>D11-C11</x:f>
        <x:v>2055.4000000000015</x:v>
      </x:c>
      <x:c r="F11" s="17" t="n">
        <x:f>E11/C11</x:f>
        <x:v>0.062085422582009345</x:v>
      </x:c>
      <x:c r="G11" s="18" t="n">
        <x:v>2192</x:v>
      </x:c>
      <x:c r="H11" s="18" t="n">
        <x:v>2192</x:v>
      </x:c>
      <x:c r="I11" s="18" t="n">
        <x:f>H11-G11</x:f>
        <x:v>0</x:v>
      </x:c>
      <x:c r="J11" s="19" t="n">
        <x:f>10000*C11/G11</x:f>
        <x:v>151031.02189781022</x:v>
      </x:c>
      <x:c r="K11" s="19" t="n">
        <x:f>10000*D11/H11</x:f>
        <x:v>160407.84671532846</x:v>
      </x:c>
      <x:c r="L11" s="19" t="n">
        <x:f>K11-J11</x:f>
        <x:v>9376.824817518238</x:v>
      </x:c>
      <x:c r="M11" s="14" t="str">
        <x:v>S1–S4</x:v>
      </x:c>
    </x:row>
    <x:row r="12" ht="24" customHeight="1">
      <x:c r="A12" s="2" t="str">
        <x:v>天津市</x:v>
      </x:c>
      <x:c r="B12" s="13" t="n">
        <x:v>2015</x:v>
      </x:c>
      <x:c r="C12" s="9" t="n">
        <x:v>10879.5</x:v>
      </x:c>
      <x:c r="D12" s="9" t="n">
        <x:v>10889.2</x:v>
      </x:c>
      <x:c r="E12" s="9" t="n">
        <x:f>D12-C12</x:f>
        <x:v>9.700000000000728</x:v>
      </x:c>
      <x:c r="F12" s="10" t="n">
        <x:f>E12/C12</x:f>
        <x:v>0.0008915850912266858</x:v>
      </x:c>
      <x:c r="G12" s="11" t="n">
        <x:v>1439</x:v>
      </x:c>
      <x:c r="H12" s="11" t="n">
        <x:v>1439</x:v>
      </x:c>
      <x:c r="I12" s="11" t="n">
        <x:f>H12-G12</x:f>
        <x:v>0</x:v>
      </x:c>
      <x:c r="J12" s="12" t="n">
        <x:f>10000*C12/G12</x:f>
        <x:v>75604.58651841557</x:v>
      </x:c>
      <x:c r="K12" s="12" t="n">
        <x:f>10000*D12/H12</x:f>
        <x:v>75671.99444058375</x:v>
      </x:c>
      <x:c r="L12" s="12" t="n">
        <x:f>K12-J12</x:f>
        <x:v>67.40792216817499</x:v>
      </x:c>
      <x:c r="M12" s="2" t="str">
        <x:v>S1–S4</x:v>
      </x:c>
    </x:row>
    <x:row r="13" ht="24" customHeight="1">
      <x:c r="A13" s="2" t="str">
        <x:v>天津市</x:v>
      </x:c>
      <x:c r="B13" s="13" t="n">
        <x:v>2016</x:v>
      </x:c>
      <x:c r="C13" s="9" t="n">
        <x:v>11477.2</x:v>
      </x:c>
      <x:c r="D13" s="9" t="n">
        <x:v>11487</x:v>
      </x:c>
      <x:c r="E13" s="9" t="n">
        <x:f>D13-C13</x:f>
        <x:v>9.799999999999272</x:v>
      </x:c>
      <x:c r="F13" s="10" t="n">
        <x:f>E13/C13</x:f>
        <x:v>0.0008538667967796389</x:v>
      </x:c>
      <x:c r="G13" s="11" t="n">
        <x:v>1443</x:v>
      </x:c>
      <x:c r="H13" s="11" t="n">
        <x:v>1443</x:v>
      </x:c>
      <x:c r="I13" s="11" t="n">
        <x:f>H13-G13</x:f>
        <x:v>0</x:v>
      </x:c>
      <x:c r="J13" s="12" t="n">
        <x:f>10000*C13/G13</x:f>
        <x:v>79537.07553707554</x:v>
      </x:c>
      <x:c r="K13" s="12" t="n">
        <x:f>10000*D13/H13</x:f>
        <x:v>79604.9896049896</x:v>
      </x:c>
      <x:c r="L13" s="12" t="n">
        <x:f>K13-J13</x:f>
        <x:v>67.91406791406916</x:v>
      </x:c>
      <x:c r="M13" s="2" t="str">
        <x:v>S1–S4</x:v>
      </x:c>
    </x:row>
    <x:row r="14" ht="24" customHeight="1">
      <x:c r="A14" s="2" t="str">
        <x:v>天津市</x:v>
      </x:c>
      <x:c r="B14" s="13" t="n">
        <x:v>2017</x:v>
      </x:c>
      <x:c r="C14" s="9" t="n">
        <x:v>12450.6</x:v>
      </x:c>
      <x:c r="D14" s="9" t="n">
        <x:v>12468.2</x:v>
      </x:c>
      <x:c r="E14" s="9" t="n">
        <x:f>D14-C14</x:f>
        <x:v>17.600000000000364</x:v>
      </x:c>
      <x:c r="F14" s="10" t="n">
        <x:f>E14/C14</x:f>
        <x:v>0.0014135864938236201</x:v>
      </x:c>
      <x:c r="G14" s="11" t="n">
        <x:v>1410</x:v>
      </x:c>
      <x:c r="H14" s="11" t="n">
        <x:v>1410</x:v>
      </x:c>
      <x:c r="I14" s="11" t="n">
        <x:f>H14-G14</x:f>
        <x:v>0</x:v>
      </x:c>
      <x:c r="J14" s="12" t="n">
        <x:f>10000*C14/G14</x:f>
        <x:v>88302.12765957447</x:v>
      </x:c>
      <x:c r="K14" s="12" t="n">
        <x:f>10000*D14/H14</x:f>
        <x:v>88426.95035460993</x:v>
      </x:c>
      <x:c r="L14" s="12" t="n">
        <x:f>K14-J14</x:f>
        <x:v>124.82269503545831</x:v>
      </x:c>
      <x:c r="M14" s="2" t="str">
        <x:v>S1–S4</x:v>
      </x:c>
    </x:row>
    <x:row r="15" ht="24" customHeight="1">
      <x:c r="A15" s="2" t="str">
        <x:v>天津市</x:v>
      </x:c>
      <x:c r="B15" s="13" t="n">
        <x:v>2018</x:v>
      </x:c>
      <x:c r="C15" s="9" t="n">
        <x:v>13362.9</x:v>
      </x:c>
      <x:c r="D15" s="9" t="n">
        <x:v>13411.1</x:v>
      </x:c>
      <x:c r="E15" s="9" t="n">
        <x:f>D15-C15</x:f>
        <x:v>48.20000000000073</x:v>
      </x:c>
      <x:c r="F15" s="10" t="n">
        <x:f>E15/C15</x:f>
        <x:v>0.0036070014742309474</x:v>
      </x:c>
      <x:c r="G15" s="11" t="n">
        <x:v>1383</x:v>
      </x:c>
      <x:c r="H15" s="11" t="n">
        <x:v>1383</x:v>
      </x:c>
      <x:c r="I15" s="11" t="n">
        <x:f>H15-G15</x:f>
        <x:v>0</x:v>
      </x:c>
      <x:c r="J15" s="12" t="n">
        <x:f>10000*C15/G15</x:f>
        <x:v>96622.55965292842</x:v>
      </x:c>
      <x:c r="K15" s="12" t="n">
        <x:f>10000*D15/H15</x:f>
        <x:v>96971.0773680405</x:v>
      </x:c>
      <x:c r="L15" s="12" t="n">
        <x:f>K15-J15</x:f>
        <x:v>348.51771511207335</x:v>
      </x:c>
      <x:c r="M15" s="2" t="str">
        <x:v>S1–S4</x:v>
      </x:c>
    </x:row>
    <x:row r="16" ht="24" customHeight="1">
      <x:c r="A16" s="14" t="str">
        <x:v>河北省</x:v>
      </x:c>
      <x:c r="B16" s="15" t="n">
        <x:v>2015</x:v>
      </x:c>
      <x:c r="C16" s="16" t="n">
        <x:v>26398.4</x:v>
      </x:c>
      <x:c r="D16" s="16" t="n">
        <x:v>26744.1</x:v>
      </x:c>
      <x:c r="E16" s="16" t="n">
        <x:f>D16-C16</x:f>
        <x:v>345.6999999999971</x:v>
      </x:c>
      <x:c r="F16" s="17" t="n">
        <x:f>E16/C16</x:f>
        <x:v>0.013095490635795999</x:v>
      </x:c>
      <x:c r="G16" s="18" t="n">
        <x:v>7345</x:v>
      </x:c>
      <x:c r="H16" s="18" t="n">
        <x:v>7345</x:v>
      </x:c>
      <x:c r="I16" s="18" t="n">
        <x:f>H16-G16</x:f>
        <x:v>0</x:v>
      </x:c>
      <x:c r="J16" s="19" t="n">
        <x:f>10000*C16/G16</x:f>
        <x:v>35940.63989108237</x:v>
      </x:c>
      <x:c r="K16" s="19" t="n">
        <x:f>10000*D16/H16</x:f>
        <x:v>36411.300204220555</x:v>
      </x:c>
      <x:c r="L16" s="19" t="n">
        <x:f>K16-J16</x:f>
        <x:v>470.6603131381853</x:v>
      </x:c>
      <x:c r="M16" s="14" t="str">
        <x:v>S1–S4</x:v>
      </x:c>
    </x:row>
    <x:row r="17" ht="24" customHeight="1">
      <x:c r="A17" s="14" t="str">
        <x:v>河北省</x:v>
      </x:c>
      <x:c r="B17" s="15" t="n">
        <x:v>2016</x:v>
      </x:c>
      <x:c r="C17" s="16" t="n">
        <x:v>28474.1</x:v>
      </x:c>
      <x:c r="D17" s="16" t="n">
        <x:v>28879.7</x:v>
      </x:c>
      <x:c r="E17" s="16" t="n">
        <x:f>D17-C17</x:f>
        <x:v>405.6000000000022</x:v>
      </x:c>
      <x:c r="F17" s="17" t="n">
        <x:f>E17/C17</x:f>
        <x:v>0.014244523970906971</x:v>
      </x:c>
      <x:c r="G17" s="18" t="n">
        <x:v>7375</x:v>
      </x:c>
      <x:c r="H17" s="18" t="n">
        <x:v>7375</x:v>
      </x:c>
      <x:c r="I17" s="18" t="n">
        <x:f>H17-G17</x:f>
        <x:v>0</x:v>
      </x:c>
      <x:c r="J17" s="19" t="n">
        <x:f>10000*C17/G17</x:f>
        <x:v>38608.94915254237</x:v>
      </x:c>
      <x:c r="K17" s="19" t="n">
        <x:f>10000*D17/H17</x:f>
        <x:v>39158.91525423729</x:v>
      </x:c>
      <x:c r="L17" s="19" t="n">
        <x:f>K17-J17</x:f>
        <x:v>549.9661016949176</x:v>
      </x:c>
      <x:c r="M17" s="14" t="str">
        <x:v>S1–S4</x:v>
      </x:c>
    </x:row>
    <x:row r="18" ht="24" customHeight="1">
      <x:c r="A18" s="14" t="str">
        <x:v>河北省</x:v>
      </x:c>
      <x:c r="B18" s="15" t="n">
        <x:v>2017</x:v>
      </x:c>
      <x:c r="C18" s="16" t="n">
        <x:v>30640.8</x:v>
      </x:c>
      <x:c r="D18" s="16" t="n">
        <x:v>31065.5</x:v>
      </x:c>
      <x:c r="E18" s="16" t="n">
        <x:f>D18-C18</x:f>
        <x:v>424.7000000000007</x:v>
      </x:c>
      <x:c r="F18" s="17" t="n">
        <x:f>E18/C18</x:f>
        <x:v>0.013860604161771256</x:v>
      </x:c>
      <x:c r="G18" s="18" t="n">
        <x:v>7409</x:v>
      </x:c>
      <x:c r="H18" s="18" t="n">
        <x:v>7409</x:v>
      </x:c>
      <x:c r="I18" s="18" t="n">
        <x:f>H18-G18</x:f>
        <x:v>0</x:v>
      </x:c>
      <x:c r="J18" s="19" t="n">
        <x:f>10000*C18/G18</x:f>
        <x:v>41356.18841948981</x:v>
      </x:c>
      <x:c r="K18" s="19" t="n">
        <x:f>10000*D18/H18</x:f>
        <x:v>41929.41017681199</x:v>
      </x:c>
      <x:c r="L18" s="19" t="n">
        <x:f>K18-J18</x:f>
        <x:v>573.2217573221787</x:v>
      </x:c>
      <x:c r="M18" s="14" t="str">
        <x:v>S1–S4</x:v>
      </x:c>
    </x:row>
    <x:row r="19" ht="24" customHeight="1">
      <x:c r="A19" s="14" t="str">
        <x:v>河北省</x:v>
      </x:c>
      <x:c r="B19" s="15" t="n">
        <x:v>2018</x:v>
      </x:c>
      <x:c r="C19" s="16" t="n">
        <x:v>32494.6</x:v>
      </x:c>
      <x:c r="D19" s="16" t="n">
        <x:v>32947</x:v>
      </x:c>
      <x:c r="E19" s="16" t="n">
        <x:f>D19-C19</x:f>
        <x:v>452.40000000000146</x:v>
      </x:c>
      <x:c r="F19" s="17" t="n">
        <x:f>E19/C19</x:f>
        <x:v>0.013922313245893209</x:v>
      </x:c>
      <x:c r="G19" s="18" t="n">
        <x:v>7426</x:v>
      </x:c>
      <x:c r="H19" s="18" t="n">
        <x:v>7426</x:v>
      </x:c>
      <x:c r="I19" s="18" t="n">
        <x:f>H19-G19</x:f>
        <x:v>0</x:v>
      </x:c>
      <x:c r="J19" s="19" t="n">
        <x:f>10000*C19/G19</x:f>
        <x:v>43757.87772690547</x:v>
      </x:c>
      <x:c r="K19" s="19" t="n">
        <x:f>10000*D19/H19</x:f>
        <x:v>44367.08860759494</x:v>
      </x:c>
      <x:c r="L19" s="19" t="n">
        <x:f>K19-J19</x:f>
        <x:v>609.2108806894685</x:v>
      </x:c>
      <x:c r="M19" s="14" t="str">
        <x:v>S1–S4</x:v>
      </x:c>
    </x:row>
    <x:row r="20" ht="24" customHeight="1">
      <x:c r="A20" s="2" t="str">
        <x:v>山西省</x:v>
      </x:c>
      <x:c r="B20" s="13" t="n">
        <x:v>2015</x:v>
      </x:c>
      <x:c r="C20" s="9" t="n">
        <x:v>11836.4</x:v>
      </x:c>
      <x:c r="D20" s="9" t="n">
        <x:v>12036.1</x:v>
      </x:c>
      <x:c r="E20" s="9" t="n">
        <x:f>D20-C20</x:f>
        <x:v>199.70000000000073</x:v>
      </x:c>
      <x:c r="F20" s="10" t="n">
        <x:f>E20/C20</x:f>
        <x:v>0.01687168395796025</x:v>
      </x:c>
      <x:c r="G20" s="11" t="n">
        <x:v>3519</x:v>
      </x:c>
      <x:c r="H20" s="11" t="n">
        <x:v>3519</x:v>
      </x:c>
      <x:c r="I20" s="11" t="n">
        <x:f>H20-G20</x:f>
        <x:v>0</x:v>
      </x:c>
      <x:c r="J20" s="12" t="n">
        <x:f>10000*C20/G20</x:f>
        <x:v>33635.691957942596</x:v>
      </x:c>
      <x:c r="K20" s="12" t="n">
        <x:f>10000*D20/H20</x:f>
        <x:v>34203.182722364305</x:v>
      </x:c>
      <x:c r="L20" s="12" t="n">
        <x:f>K20-J20</x:f>
        <x:v>567.4907644217092</x:v>
      </x:c>
      <x:c r="M20" s="2" t="str">
        <x:v>S1–S4</x:v>
      </x:c>
    </x:row>
    <x:row r="21" ht="24" customHeight="1">
      <x:c r="A21" s="2" t="str">
        <x:v>山西省</x:v>
      </x:c>
      <x:c r="B21" s="13" t="n">
        <x:v>2016</x:v>
      </x:c>
      <x:c r="C21" s="9" t="n">
        <x:v>11946.4</x:v>
      </x:c>
      <x:c r="D21" s="9" t="n">
        <x:v>12160.1</x:v>
      </x:c>
      <x:c r="E21" s="9" t="n">
        <x:f>D21-C21</x:f>
        <x:v>213.70000000000073</x:v>
      </x:c>
      <x:c r="F21" s="10" t="n">
        <x:f>E21/C21</x:f>
        <x:v>0.01788823411236864</x:v>
      </x:c>
      <x:c r="G21" s="11" t="n">
        <x:v>3514</x:v>
      </x:c>
      <x:c r="H21" s="11" t="n">
        <x:v>3514</x:v>
      </x:c>
      <x:c r="I21" s="11" t="n">
        <x:f>H21-G21</x:f>
        <x:v>0</x:v>
      </x:c>
      <x:c r="J21" s="12" t="n">
        <x:f>10000*C21/G21</x:f>
        <x:v>33996.585088218555</x:v>
      </x:c>
      <x:c r="K21" s="12" t="n">
        <x:f>10000*D21/H21</x:f>
        <x:v>34604.72396129767</x:v>
      </x:c>
      <x:c r="L21" s="12" t="n">
        <x:f>K21-J21</x:f>
        <x:v>608.138873079115</x:v>
      </x:c>
      <x:c r="M21" s="2" t="str">
        <x:v>S1–S4</x:v>
      </x:c>
    </x:row>
    <x:row r="22" ht="24" customHeight="1">
      <x:c r="A22" s="2" t="str">
        <x:v>山西省</x:v>
      </x:c>
      <x:c r="B22" s="13" t="n">
        <x:v>2017</x:v>
      </x:c>
      <x:c r="C22" s="9" t="n">
        <x:v>14484.3</x:v>
      </x:c>
      <x:c r="D22" s="9" t="n">
        <x:v>14679.1</x:v>
      </x:c>
      <x:c r="E22" s="9" t="n">
        <x:f>D22-C22</x:f>
        <x:v>194.8000000000011</x:v>
      </x:c>
      <x:c r="F22" s="10" t="n">
        <x:f>E22/C22</x:f>
        <x:v>0.01344904482784816</x:v>
      </x:c>
      <x:c r="G22" s="11" t="n">
        <x:v>3510</x:v>
      </x:c>
      <x:c r="H22" s="11" t="n">
        <x:v>3510</x:v>
      </x:c>
      <x:c r="I22" s="11" t="n">
        <x:f>H22-G22</x:f>
        <x:v>0</x:v>
      </x:c>
      <x:c r="J22" s="12" t="n">
        <x:f>10000*C22/G22</x:f>
        <x:v>41265.81196581197</x:v>
      </x:c>
      <x:c r="K22" s="12" t="n">
        <x:f>10000*D22/H22</x:f>
        <x:v>41820.797720797724</x:v>
      </x:c>
      <x:c r="L22" s="12" t="n">
        <x:f>K22-J22</x:f>
        <x:v>554.9857549857552</x:v>
      </x:c>
      <x:c r="M22" s="2" t="str">
        <x:v>S1–S4</x:v>
      </x:c>
    </x:row>
    <x:row r="23" ht="24" customHeight="1">
      <x:c r="A23" s="2" t="str">
        <x:v>山西省</x:v>
      </x:c>
      <x:c r="B23" s="13" t="n">
        <x:v>2018</x:v>
      </x:c>
      <x:c r="C23" s="9" t="n">
        <x:v>15958.1</x:v>
      </x:c>
      <x:c r="D23" s="9" t="n">
        <x:v>16153.1</x:v>
      </x:c>
      <x:c r="E23" s="9" t="n">
        <x:f>D23-C23</x:f>
        <x:v>195</x:v>
      </x:c>
      <x:c r="F23" s="10" t="n">
        <x:f>E23/C23</x:f>
        <x:v>0.0122194998151409</x:v>
      </x:c>
      <x:c r="G23" s="11" t="n">
        <x:v>3502</x:v>
      </x:c>
      <x:c r="H23" s="11" t="n">
        <x:v>3502</x:v>
      </x:c>
      <x:c r="I23" s="11" t="n">
        <x:f>H23-G23</x:f>
        <x:v>0</x:v>
      </x:c>
      <x:c r="J23" s="12" t="n">
        <x:f>10000*C23/G23</x:f>
        <x:v>45568.53226727584</x:v>
      </x:c>
      <x:c r="K23" s="12" t="n">
        <x:f>10000*D23/H23</x:f>
        <x:v>46125.35693889206</x:v>
      </x:c>
      <x:c r="L23" s="12" t="n">
        <x:f>K23-J23</x:f>
        <x:v>556.8246716162175</x:v>
      </x:c>
      <x:c r="M23" s="2" t="str">
        <x:v>S1–S4</x:v>
      </x:c>
    </x:row>
    <x:row r="24" ht="24" customHeight="1">
      <x:c r="A24" s="14" t="str">
        <x:v>内蒙古自治区</x:v>
      </x:c>
      <x:c r="B24" s="15" t="n">
        <x:v>2015</x:v>
      </x:c>
      <x:c r="C24" s="16" t="n">
        <x:v>12949</x:v>
      </x:c>
      <x:c r="D24" s="16" t="n">
        <x:v>13062.7</x:v>
      </x:c>
      <x:c r="E24" s="16" t="n">
        <x:f>D24-C24</x:f>
        <x:v>113.70000000000073</x:v>
      </x:c>
      <x:c r="F24" s="17" t="n">
        <x:f>E24/C24</x:f>
        <x:v>0.008780600818596086</x:v>
      </x:c>
      <x:c r="G24" s="18" t="n">
        <x:v>2440</x:v>
      </x:c>
      <x:c r="H24" s="18" t="n">
        <x:v>2440</x:v>
      </x:c>
      <x:c r="I24" s="18" t="n">
        <x:f>H24-G24</x:f>
        <x:v>0</x:v>
      </x:c>
      <x:c r="J24" s="19" t="n">
        <x:f>10000*C24/G24</x:f>
        <x:v>53069.67213114754</x:v>
      </x:c>
      <x:c r="K24" s="19" t="n">
        <x:f>10000*D24/H24</x:f>
        <x:v>53535.65573770492</x:v>
      </x:c>
      <x:c r="L24" s="19" t="n">
        <x:f>K24-J24</x:f>
        <x:v>465.98360655737633</x:v>
      </x:c>
      <x:c r="M24" s="14" t="str">
        <x:v>S1–S4</x:v>
      </x:c>
    </x:row>
    <x:row r="25" ht="24" customHeight="1">
      <x:c r="A25" s="14" t="str">
        <x:v>内蒙古自治区</x:v>
      </x:c>
      <x:c r="B25" s="15" t="n">
        <x:v>2016</x:v>
      </x:c>
      <x:c r="C25" s="16" t="n">
        <x:v>13789.3</x:v>
      </x:c>
      <x:c r="D25" s="16" t="n">
        <x:v>13879</x:v>
      </x:c>
      <x:c r="E25" s="16" t="n">
        <x:f>D25-C25</x:f>
        <x:v>89.70000000000073</x:v>
      </x:c>
      <x:c r="F25" s="17" t="n">
        <x:f>E25/C25</x:f>
        <x:v>0.0065050437658184775</x:v>
      </x:c>
      <x:c r="G25" s="18" t="n">
        <x:v>2436</x:v>
      </x:c>
      <x:c r="H25" s="18" t="n">
        <x:v>2436</x:v>
      </x:c>
      <x:c r="I25" s="18" t="n">
        <x:f>H25-G25</x:f>
        <x:v>0</x:v>
      </x:c>
      <x:c r="J25" s="19" t="n">
        <x:f>10000*C25/G25</x:f>
        <x:v>56606.32183908046</x:v>
      </x:c>
      <x:c r="K25" s="19" t="n">
        <x:f>10000*D25/H25</x:f>
        <x:v>56974.54844006568</x:v>
      </x:c>
      <x:c r="L25" s="19" t="n">
        <x:f>K25-J25</x:f>
        <x:v>368.2266009852174</x:v>
      </x:c>
      <x:c r="M25" s="14" t="str">
        <x:v>S1–S4</x:v>
      </x:c>
    </x:row>
    <x:row r="26" ht="24" customHeight="1">
      <x:c r="A26" s="14" t="str">
        <x:v>内蒙古自治区</x:v>
      </x:c>
      <x:c r="B26" s="15" t="n">
        <x:v>2017</x:v>
      </x:c>
      <x:c r="C26" s="16" t="n">
        <x:v>14898.1</x:v>
      </x:c>
      <x:c r="D26" s="16" t="n">
        <x:v>15009.9</x:v>
      </x:c>
      <x:c r="E26" s="16" t="n">
        <x:f>D26-C26</x:f>
        <x:v>111.79999999999927</x:v>
      </x:c>
      <x:c r="F26" s="17" t="n">
        <x:f>E26/C26</x:f>
        <x:v>0.007504312630469608</x:v>
      </x:c>
      <x:c r="G26" s="18" t="n">
        <x:v>2433</x:v>
      </x:c>
      <x:c r="H26" s="18" t="n">
        <x:v>2433</x:v>
      </x:c>
      <x:c r="I26" s="18" t="n">
        <x:f>H26-G26</x:f>
        <x:v>0</x:v>
      </x:c>
      <x:c r="J26" s="19" t="n">
        <x:f>10000*C26/G26</x:f>
        <x:v>61233.4566378956</x:v>
      </x:c>
      <x:c r="K26" s="19" t="n">
        <x:f>10000*D26/H26</x:f>
        <x:v>61692.97163995068</x:v>
      </x:c>
      <x:c r="L26" s="19" t="n">
        <x:f>K26-J26</x:f>
        <x:v>459.5150020550791</x:v>
      </x:c>
      <x:c r="M26" s="14" t="str">
        <x:v>S1–S4</x:v>
      </x:c>
    </x:row>
    <x:row r="27" ht="24" customHeight="1">
      <x:c r="A27" s="14" t="str">
        <x:v>内蒙古自治区</x:v>
      </x:c>
      <x:c r="B27" s="15" t="n">
        <x:v>2018</x:v>
      </x:c>
      <x:c r="C27" s="16" t="n">
        <x:v>16140.8</x:v>
      </x:c>
      <x:c r="D27" s="16" t="n">
        <x:v>16252.9</x:v>
      </x:c>
      <x:c r="E27" s="16" t="n">
        <x:f>D27-C27</x:f>
        <x:v>112.10000000000036</x:v>
      </x:c>
      <x:c r="F27" s="17" t="n">
        <x:f>E27/C27</x:f>
        <x:v>0.006945132831086462</x:v>
      </x:c>
      <x:c r="G27" s="18" t="n">
        <x:v>2422</x:v>
      </x:c>
      <x:c r="H27" s="18" t="n">
        <x:v>2422</x:v>
      </x:c>
      <x:c r="I27" s="18" t="n">
        <x:f>H27-G27</x:f>
        <x:v>0</x:v>
      </x:c>
      <x:c r="J27" s="19" t="n">
        <x:f>10000*C27/G27</x:f>
        <x:v>66642.44426094137</x:v>
      </x:c>
      <x:c r="K27" s="19" t="n">
        <x:f>10000*D27/H27</x:f>
        <x:v>67105.28488852188</x:v>
      </x:c>
      <x:c r="L27" s="19" t="n">
        <x:f>K27-J27</x:f>
        <x:v>462.8406275805173</x:v>
      </x:c>
      <x:c r="M27" s="14" t="str">
        <x:v>S1–S4</x:v>
      </x:c>
    </x:row>
    <x:row r="28" ht="24" customHeight="1">
      <x:c r="A28" s="2" t="str">
        <x:v>辽宁省</x:v>
      </x:c>
      <x:c r="B28" s="13" t="n">
        <x:v>2015</x:v>
      </x:c>
      <x:c r="C28" s="9" t="n">
        <x:v>20210.3</x:v>
      </x:c>
      <x:c r="D28" s="9" t="n">
        <x:v>20657.8</x:v>
      </x:c>
      <x:c r="E28" s="9" t="n">
        <x:f>D28-C28</x:f>
        <x:v>447.5</x:v>
      </x:c>
      <x:c r="F28" s="10" t="n">
        <x:f>E28/C28</x:f>
        <x:v>0.022142175029564132</x:v>
      </x:c>
      <x:c r="G28" s="11" t="n">
        <x:v>4338</x:v>
      </x:c>
      <x:c r="H28" s="11" t="n">
        <x:v>4338</x:v>
      </x:c>
      <x:c r="I28" s="11" t="n">
        <x:f>H28-G28</x:f>
        <x:v>0</x:v>
      </x:c>
      <x:c r="J28" s="12" t="n">
        <x:f>10000*C28/G28</x:f>
        <x:v>46588.98109727985</x:v>
      </x:c>
      <x:c r="K28" s="12" t="n">
        <x:f>10000*D28/H28</x:f>
        <x:v>47620.56247118488</x:v>
      </x:c>
      <x:c r="L28" s="12" t="n">
        <x:f>K28-J28</x:f>
        <x:v>1031.5813739050282</x:v>
      </x:c>
      <x:c r="M28" s="2" t="str">
        <x:v>S1–S4</x:v>
      </x:c>
    </x:row>
    <x:row r="29" ht="24" customHeight="1">
      <x:c r="A29" s="2" t="str">
        <x:v>辽宁省</x:v>
      </x:c>
      <x:c r="B29" s="13" t="n">
        <x:v>2016</x:v>
      </x:c>
      <x:c r="C29" s="9" t="n">
        <x:v>20392.5</x:v>
      </x:c>
      <x:c r="D29" s="9" t="n">
        <x:v>20832</x:v>
      </x:c>
      <x:c r="E29" s="9" t="n">
        <x:f>D29-C29</x:f>
        <x:v>439.5</x:v>
      </x:c>
      <x:c r="F29" s="10" t="n">
        <x:f>E29/C29</x:f>
        <x:v>0.021552041191614565</x:v>
      </x:c>
      <x:c r="G29" s="11" t="n">
        <x:v>4327</x:v>
      </x:c>
      <x:c r="H29" s="11" t="n">
        <x:v>4327</x:v>
      </x:c>
      <x:c r="I29" s="11" t="n">
        <x:f>H29-G29</x:f>
        <x:v>0</x:v>
      </x:c>
      <x:c r="J29" s="12" t="n">
        <x:f>10000*C29/G29</x:f>
        <x:v>47128.49549341345</x:v>
      </x:c>
      <x:c r="K29" s="12" t="n">
        <x:f>10000*D29/H29</x:f>
        <x:v>48144.210769586316</x:v>
      </x:c>
      <x:c r="L29" s="12" t="n">
        <x:f>K29-J29</x:f>
        <x:v>1015.7152761728648</x:v>
      </x:c>
      <x:c r="M29" s="2" t="str">
        <x:v>S1–S4</x:v>
      </x:c>
    </x:row>
    <x:row r="30" ht="24" customHeight="1">
      <x:c r="A30" s="2" t="str">
        <x:v>辽宁省</x:v>
      </x:c>
      <x:c r="B30" s="13" t="n">
        <x:v>2017</x:v>
      </x:c>
      <x:c r="C30" s="9" t="n">
        <x:v>21693</x:v>
      </x:c>
      <x:c r="D30" s="9" t="n">
        <x:v>22105.4</x:v>
      </x:c>
      <x:c r="E30" s="9" t="n">
        <x:f>D30-C30</x:f>
        <x:v>412.40000000000146</x:v>
      </x:c>
      <x:c r="F30" s="10" t="n">
        <x:f>E30/C30</x:f>
        <x:v>0.019010740791960606</x:v>
      </x:c>
      <x:c r="G30" s="11" t="n">
        <x:v>4312</x:v>
      </x:c>
      <x:c r="H30" s="11" t="n">
        <x:v>4312</x:v>
      </x:c>
      <x:c r="I30" s="11" t="n">
        <x:f>H30-G30</x:f>
        <x:v>0</x:v>
      </x:c>
      <x:c r="J30" s="12" t="n">
        <x:f>10000*C30/G30</x:f>
        <x:v>50308.44155844156</x:v>
      </x:c>
      <x:c r="K30" s="12" t="n">
        <x:f>10000*D30/H30</x:f>
        <x:v>51264.842300556586</x:v>
      </x:c>
      <x:c r="L30" s="12" t="n">
        <x:f>K30-J30</x:f>
        <x:v>956.4007421150236</x:v>
      </x:c>
      <x:c r="M30" s="2" t="str">
        <x:v>S1–S4</x:v>
      </x:c>
    </x:row>
    <x:row r="31" ht="24" customHeight="1">
      <x:c r="A31" s="2" t="str">
        <x:v>辽宁省</x:v>
      </x:c>
      <x:c r="B31" s="13" t="n">
        <x:v>2018</x:v>
      </x:c>
      <x:c r="C31" s="9" t="n">
        <x:v>23510.5</x:v>
      </x:c>
      <x:c r="D31" s="9" t="n">
        <x:v>24113.5</x:v>
      </x:c>
      <x:c r="E31" s="9" t="n">
        <x:f>D31-C31</x:f>
        <x:v>603</x:v>
      </x:c>
      <x:c r="F31" s="10" t="n">
        <x:f>E31/C31</x:f>
        <x:v>0.025648114672167755</x:v>
      </x:c>
      <x:c r="G31" s="11" t="n">
        <x:v>4291</x:v>
      </x:c>
      <x:c r="H31" s="11" t="n">
        <x:v>4291</x:v>
      </x:c>
      <x:c r="I31" s="11" t="n">
        <x:f>H31-G31</x:f>
        <x:v>0</x:v>
      </x:c>
      <x:c r="J31" s="12" t="n">
        <x:f>10000*C31/G31</x:f>
        <x:v>54790.25868096015</x:v>
      </x:c>
      <x:c r="K31" s="12" t="n">
        <x:f>10000*D31/H31</x:f>
        <x:v>56195.52551852715</x:v>
      </x:c>
      <x:c r="L31" s="12" t="n">
        <x:f>K31-J31</x:f>
        <x:v>1405.2668375670037</x:v>
      </x:c>
      <x:c r="M31" s="2" t="str">
        <x:v>S1–S4</x:v>
      </x:c>
    </x:row>
    <x:row r="32" ht="24" customHeight="1">
      <x:c r="A32" s="14" t="str">
        <x:v>吉林省</x:v>
      </x:c>
      <x:c r="B32" s="15" t="n">
        <x:v>2015</x:v>
      </x:c>
      <x:c r="C32" s="16" t="n">
        <x:v>10018</x:v>
      </x:c>
      <x:c r="D32" s="16" t="n">
        <x:v>10162.9</x:v>
      </x:c>
      <x:c r="E32" s="16" t="n">
        <x:f>D32-C32</x:f>
        <x:v>144.89999999999964</x:v>
      </x:c>
      <x:c r="F32" s="17" t="n">
        <x:f>E32/C32</x:f>
        <x:v>0.014463964863246121</x:v>
      </x:c>
      <x:c r="G32" s="18" t="n">
        <x:v>2613</x:v>
      </x:c>
      <x:c r="H32" s="18" t="n">
        <x:v>2613</x:v>
      </x:c>
      <x:c r="I32" s="18" t="n">
        <x:f>H32-G32</x:f>
        <x:v>0</x:v>
      </x:c>
      <x:c r="J32" s="19" t="n">
        <x:f>10000*C32/G32</x:f>
        <x:v>38339.07386146192</x:v>
      </x:c>
      <x:c r="K32" s="19" t="n">
        <x:f>10000*D32/H32</x:f>
        <x:v>38893.6088786835</x:v>
      </x:c>
      <x:c r="L32" s="19" t="n">
        <x:f>K32-J32</x:f>
        <x:v>554.535017221584</x:v>
      </x:c>
      <x:c r="M32" s="14" t="str">
        <x:v>S1–S4</x:v>
      </x:c>
    </x:row>
    <x:row r="33" ht="24" customHeight="1">
      <x:c r="A33" s="14" t="str">
        <x:v>吉林省</x:v>
      </x:c>
      <x:c r="B33" s="15" t="n">
        <x:v>2016</x:v>
      </x:c>
      <x:c r="C33" s="16" t="n">
        <x:v>10427</x:v>
      </x:c>
      <x:c r="D33" s="16" t="n">
        <x:v>10603.5</x:v>
      </x:c>
      <x:c r="E33" s="16" t="n">
        <x:f>D33-C33</x:f>
        <x:v>176.5</x:v>
      </x:c>
      <x:c r="F33" s="17" t="n">
        <x:f>E33/C33</x:f>
        <x:v>0.01692720820945622</x:v>
      </x:c>
      <x:c r="G33" s="18" t="n">
        <x:v>2567</x:v>
      </x:c>
      <x:c r="H33" s="18" t="n">
        <x:v>2567</x:v>
      </x:c>
      <x:c r="I33" s="18" t="n">
        <x:f>H33-G33</x:f>
        <x:v>0</x:v>
      </x:c>
      <x:c r="J33" s="19" t="n">
        <x:f>10000*C33/G33</x:f>
        <x:v>40619.40007791196</x:v>
      </x:c>
      <x:c r="K33" s="19" t="n">
        <x:f>10000*D33/H33</x:f>
        <x:v>41306.97312037398</x:v>
      </x:c>
      <x:c r="L33" s="19" t="n">
        <x:f>K33-J33</x:f>
        <x:v>687.5730424620197</x:v>
      </x:c>
      <x:c r="M33" s="14" t="str">
        <x:v>S1–S4</x:v>
      </x:c>
    </x:row>
    <x:row r="34" ht="24" customHeight="1">
      <x:c r="A34" s="14" t="str">
        <x:v>吉林省</x:v>
      </x:c>
      <x:c r="B34" s="15" t="n">
        <x:v>2017</x:v>
      </x:c>
      <x:c r="C34" s="16" t="n">
        <x:v>10922</x:v>
      </x:c>
      <x:c r="D34" s="16" t="n">
        <x:v>11083</x:v>
      </x:c>
      <x:c r="E34" s="16" t="n">
        <x:f>D34-C34</x:f>
        <x:v>161</x:v>
      </x:c>
      <x:c r="F34" s="17" t="n">
        <x:f>E34/C34</x:f>
        <x:v>0.014740889946896173</x:v>
      </x:c>
      <x:c r="G34" s="18" t="n">
        <x:v>2526</x:v>
      </x:c>
      <x:c r="H34" s="18" t="n">
        <x:v>2526</x:v>
      </x:c>
      <x:c r="I34" s="18" t="n">
        <x:f>H34-G34</x:f>
        <x:v>0</x:v>
      </x:c>
      <x:c r="J34" s="19" t="n">
        <x:f>10000*C34/G34</x:f>
        <x:v>43238.321456848775</x:v>
      </x:c>
      <x:c r="K34" s="19" t="n">
        <x:f>10000*D34/H34</x:f>
        <x:v>43875.6927949327</x:v>
      </x:c>
      <x:c r="L34" s="19" t="n">
        <x:f>K34-J34</x:f>
        <x:v>637.3713380839254</x:v>
      </x:c>
      <x:c r="M34" s="14" t="str">
        <x:v>S1–S4</x:v>
      </x:c>
    </x:row>
    <x:row r="35" ht="24" customHeight="1">
      <x:c r="A35" s="14" t="str">
        <x:v>吉林省</x:v>
      </x:c>
      <x:c r="B35" s="15" t="n">
        <x:v>2018</x:v>
      </x:c>
      <x:c r="C35" s="16" t="n">
        <x:v>11253.8</x:v>
      </x:c>
      <x:c r="D35" s="16" t="n">
        <x:v>11437.4</x:v>
      </x:c>
      <x:c r="E35" s="16" t="n">
        <x:f>D35-C35</x:f>
        <x:v>183.60000000000036</x:v>
      </x:c>
      <x:c r="F35" s="17" t="n">
        <x:f>E35/C35</x:f>
        <x:v>0.016314489328049225</x:v>
      </x:c>
      <x:c r="G35" s="18" t="n">
        <x:v>2484</x:v>
      </x:c>
      <x:c r="H35" s="18" t="n">
        <x:v>2484</x:v>
      </x:c>
      <x:c r="I35" s="18" t="n">
        <x:f>H35-G35</x:f>
        <x:v>0</x:v>
      </x:c>
      <x:c r="J35" s="19" t="n">
        <x:f>10000*C35/G35</x:f>
        <x:v>45305.15297906602</x:v>
      </x:c>
      <x:c r="K35" s="19" t="n">
        <x:f>10000*D35/H35</x:f>
        <x:v>46044.28341384863</x:v>
      </x:c>
      <x:c r="L35" s="19" t="n">
        <x:f>K35-J35</x:f>
        <x:v>739.1304347826081</x:v>
      </x:c>
      <x:c r="M35" s="14" t="str">
        <x:v>S1–S4</x:v>
      </x:c>
    </x:row>
    <x:row r="36" ht="24" customHeight="1">
      <x:c r="A36" s="2" t="str">
        <x:v>黑龙江省</x:v>
      </x:c>
      <x:c r="B36" s="13" t="n">
        <x:v>2015</x:v>
      </x:c>
      <x:c r="C36" s="9" t="n">
        <x:v>11690</x:v>
      </x:c>
      <x:c r="D36" s="9" t="n">
        <x:v>12023.2</x:v>
      </x:c>
      <x:c r="E36" s="9" t="n">
        <x:f>D36-C36</x:f>
        <x:v>333.2000000000007</x:v>
      </x:c>
      <x:c r="F36" s="10" t="n">
        <x:f>E36/C36</x:f>
        <x:v>0.02850299401197611</x:v>
      </x:c>
      <x:c r="G36" s="11" t="n">
        <x:v>3529</x:v>
      </x:c>
      <x:c r="H36" s="11" t="n">
        <x:v>3529</x:v>
      </x:c>
      <x:c r="I36" s="11" t="n">
        <x:f>H36-G36</x:f>
        <x:v>0</x:v>
      </x:c>
      <x:c r="J36" s="12" t="n">
        <x:f>10000*C36/G36</x:f>
        <x:v>33125.5313119864</x:v>
      </x:c>
      <x:c r="K36" s="12" t="n">
        <x:f>10000*D36/H36</x:f>
        <x:v>34069.70813261547</x:v>
      </x:c>
      <x:c r="L36" s="12" t="n">
        <x:f>K36-J36</x:f>
        <x:v>944.1768206290726</x:v>
      </x:c>
      <x:c r="M36" s="2" t="str">
        <x:v>S1–S4</x:v>
      </x:c>
    </x:row>
    <x:row r="37" ht="24" customHeight="1">
      <x:c r="A37" s="2" t="str">
        <x:v>黑龙江省</x:v>
      </x:c>
      <x:c r="B37" s="13" t="n">
        <x:v>2016</x:v>
      </x:c>
      <x:c r="C37" s="9" t="n">
        <x:v>11895</x:v>
      </x:c>
      <x:c r="D37" s="9" t="n">
        <x:v>12280.9</x:v>
      </x:c>
      <x:c r="E37" s="9" t="n">
        <x:f>D37-C37</x:f>
        <x:v>385.89999999999964</x:v>
      </x:c>
      <x:c r="F37" s="10" t="n">
        <x:f>E37/C37</x:f>
        <x:v>0.032442202606137005</x:v>
      </x:c>
      <x:c r="G37" s="11" t="n">
        <x:v>3463</x:v>
      </x:c>
      <x:c r="H37" s="11" t="n">
        <x:v>3463</x:v>
      </x:c>
      <x:c r="I37" s="11" t="n">
        <x:f>H37-G37</x:f>
        <x:v>0</x:v>
      </x:c>
      <x:c r="J37" s="12" t="n">
        <x:f>10000*C37/G37</x:f>
        <x:v>34348.83049379151</x:v>
      </x:c>
      <x:c r="K37" s="12" t="n">
        <x:f>10000*D37/H37</x:f>
        <x:v>35463.182211954954</x:v>
      </x:c>
      <x:c r="L37" s="12" t="n">
        <x:f>K37-J37</x:f>
        <x:v>1114.3517181634452</x:v>
      </x:c>
      <x:c r="M37" s="2" t="str">
        <x:v>S1–S4</x:v>
      </x:c>
    </x:row>
    <x:row r="38" ht="24" customHeight="1">
      <x:c r="A38" s="2" t="str">
        <x:v>黑龙江省</x:v>
      </x:c>
      <x:c r="B38" s="13" t="n">
        <x:v>2017</x:v>
      </x:c>
      <x:c r="C38" s="9" t="n">
        <x:v>12313</x:v>
      </x:c>
      <x:c r="D38" s="9" t="n">
        <x:v>12659.5</x:v>
      </x:c>
      <x:c r="E38" s="9" t="n">
        <x:f>D38-C38</x:f>
        <x:v>346.5</x:v>
      </x:c>
      <x:c r="F38" s="10" t="n">
        <x:f>E38/C38</x:f>
        <x:v>0.028140989198408187</x:v>
      </x:c>
      <x:c r="G38" s="11" t="n">
        <x:v>3399</x:v>
      </x:c>
      <x:c r="H38" s="11" t="n">
        <x:v>3399</x:v>
      </x:c>
      <x:c r="I38" s="11" t="n">
        <x:f>H38-G38</x:f>
        <x:v>0</x:v>
      </x:c>
      <x:c r="J38" s="12" t="n">
        <x:f>10000*C38/G38</x:f>
        <x:v>36225.36040011768</x:v>
      </x:c>
      <x:c r="K38" s="12" t="n">
        <x:f>10000*D38/H38</x:f>
        <x:v>37244.77787584584</x:v>
      </x:c>
      <x:c r="L38" s="12" t="n">
        <x:f>K38-J38</x:f>
        <x:v>1019.417475728158</x:v>
      </x:c>
      <x:c r="M38" s="2" t="str">
        <x:v>S1–S4</x:v>
      </x:c>
    </x:row>
    <x:row r="39" ht="24" customHeight="1">
      <x:c r="A39" s="2" t="str">
        <x:v>黑龙江省</x:v>
      </x:c>
      <x:c r="B39" s="13" t="n">
        <x:v>2018</x:v>
      </x:c>
      <x:c r="C39" s="9" t="n">
        <x:v>12846.5</x:v>
      </x:c>
      <x:c r="D39" s="9" t="n">
        <x:v>13205.7</x:v>
      </x:c>
      <x:c r="E39" s="9" t="n">
        <x:f>D39-C39</x:f>
        <x:v>359.2000000000007</x:v>
      </x:c>
      <x:c r="F39" s="10" t="n">
        <x:f>E39/C39</x:f>
        <x:v>0.027960923208656112</x:v>
      </x:c>
      <x:c r="G39" s="11" t="n">
        <x:v>3327</x:v>
      </x:c>
      <x:c r="H39" s="11" t="n">
        <x:v>3327</x:v>
      </x:c>
      <x:c r="I39" s="11" t="n">
        <x:f>H39-G39</x:f>
        <x:v>0</x:v>
      </x:c>
      <x:c r="J39" s="12" t="n">
        <x:f>10000*C39/G39</x:f>
        <x:v>38612.86444244064</x:v>
      </x:c>
      <x:c r="K39" s="12" t="n">
        <x:f>10000*D39/H39</x:f>
        <x:v>39692.515779981964</x:v>
      </x:c>
      <x:c r="L39" s="12" t="n">
        <x:f>K39-J39</x:f>
        <x:v>1079.651337541327</x:v>
      </x:c>
      <x:c r="M39" s="2" t="str">
        <x:v>S1–S4</x:v>
      </x:c>
    </x:row>
    <x:row r="40" ht="24" customHeight="1">
      <x:c r="A40" s="14" t="str">
        <x:v>上海市</x:v>
      </x:c>
      <x:c r="B40" s="15" t="n">
        <x:v>2015</x:v>
      </x:c>
      <x:c r="C40" s="16" t="n">
        <x:v>26887</x:v>
      </x:c>
      <x:c r="D40" s="16" t="n">
        <x:v>27821.6</x:v>
      </x:c>
      <x:c r="E40" s="16" t="n">
        <x:f>D40-C40</x:f>
        <x:v>934.5999999999985</x:v>
      </x:c>
      <x:c r="F40" s="17" t="n">
        <x:f>E40/C40</x:f>
        <x:v>0.03476029307843934</x:v>
      </x:c>
      <x:c r="G40" s="18" t="n">
        <x:v>2458</x:v>
      </x:c>
      <x:c r="H40" s="18" t="n">
        <x:v>2458</x:v>
      </x:c>
      <x:c r="I40" s="18" t="n">
        <x:f>H40-G40</x:f>
        <x:v>0</x:v>
      </x:c>
      <x:c r="J40" s="19" t="n">
        <x:f>10000*C40/G40</x:f>
        <x:v>109385.67941415786</x:v>
      </x:c>
      <x:c r="K40" s="19" t="n">
        <x:f>10000*D40/H40</x:f>
        <x:v>113187.95768917819</x:v>
      </x:c>
      <x:c r="L40" s="19" t="n">
        <x:f>K40-J40</x:f>
        <x:v>3802.2782750203332</x:v>
      </x:c>
      <x:c r="M40" s="14" t="str">
        <x:v>S1–S4</x:v>
      </x:c>
    </x:row>
    <x:row r="41" ht="24" customHeight="1">
      <x:c r="A41" s="14" t="str">
        <x:v>上海市</x:v>
      </x:c>
      <x:c r="B41" s="15" t="n">
        <x:v>2016</x:v>
      </x:c>
      <x:c r="C41" s="16" t="n">
        <x:v>29887</x:v>
      </x:c>
      <x:c r="D41" s="16" t="n">
        <x:v>30963.9</x:v>
      </x:c>
      <x:c r="E41" s="16" t="n">
        <x:f>D41-C41</x:f>
        <x:v>1076.9000000000015</x:v>
      </x:c>
      <x:c r="F41" s="17" t="n">
        <x:f>E41/C41</x:f>
        <x:v>0.03603238866396766</x:v>
      </x:c>
      <x:c r="G41" s="18" t="n">
        <x:v>2467</x:v>
      </x:c>
      <x:c r="H41" s="18" t="n">
        <x:v>2467</x:v>
      </x:c>
      <x:c r="I41" s="18" t="n">
        <x:f>H41-G41</x:f>
        <x:v>0</x:v>
      </x:c>
      <x:c r="J41" s="19" t="n">
        <x:f>10000*C41/G41</x:f>
        <x:v>121147.14227807053</x:v>
      </x:c>
      <x:c r="K41" s="19" t="n">
        <x:f>10000*D41/H41</x:f>
        <x:v>125512.36319416296</x:v>
      </x:c>
      <x:c r="L41" s="19" t="n">
        <x:f>K41-J41</x:f>
        <x:v>4365.220916092425</x:v>
      </x:c>
      <x:c r="M41" s="14" t="str">
        <x:v>S1–S4</x:v>
      </x:c>
    </x:row>
    <x:row r="42" ht="24" customHeight="1">
      <x:c r="A42" s="14" t="str">
        <x:v>上海市</x:v>
      </x:c>
      <x:c r="B42" s="15" t="n">
        <x:v>2017</x:v>
      </x:c>
      <x:c r="C42" s="16" t="n">
        <x:v>32925</x:v>
      </x:c>
      <x:c r="D42" s="16" t="n">
        <x:v>34378.3</x:v>
      </x:c>
      <x:c r="E42" s="16" t="n">
        <x:f>D42-C42</x:f>
        <x:v>1453.300000000003</x:v>
      </x:c>
      <x:c r="F42" s="17" t="n">
        <x:f>E42/C42</x:f>
        <x:v>0.04413971146545187</x:v>
      </x:c>
      <x:c r="G42" s="18" t="n">
        <x:v>2466</x:v>
      </x:c>
      <x:c r="H42" s="18" t="n">
        <x:v>2466</x:v>
      </x:c>
      <x:c r="I42" s="18" t="n">
        <x:f>H42-G42</x:f>
        <x:v>0</x:v>
      </x:c>
      <x:c r="J42" s="19" t="n">
        <x:f>10000*C42/G42</x:f>
        <x:v>133515.81508515816</x:v>
      </x:c>
      <x:c r="K42" s="19" t="n">
        <x:f>10000*D42/H42</x:f>
        <x:v>139409.16463909164</x:v>
      </x:c>
      <x:c r="L42" s="19" t="n">
        <x:f>K42-J42</x:f>
        <x:v>5893.349553933484</x:v>
      </x:c>
      <x:c r="M42" s="14" t="str">
        <x:v>S1–S4</x:v>
      </x:c>
    </x:row>
    <x:row r="43" ht="24" customHeight="1">
      <x:c r="A43" s="14" t="str">
        <x:v>上海市</x:v>
      </x:c>
      <x:c r="B43" s="15" t="n">
        <x:v>2018</x:v>
      </x:c>
      <x:c r="C43" s="16" t="n">
        <x:v>36011.8</x:v>
      </x:c>
      <x:c r="D43" s="16" t="n">
        <x:v>37769.1</x:v>
      </x:c>
      <x:c r="E43" s="16" t="n">
        <x:f>D43-C43</x:f>
        <x:v>1757.2999999999956</x:v>
      </x:c>
      <x:c r="F43" s="17" t="n">
        <x:f>E43/C43</x:f>
        <x:v>0.048797894023625464</x:v>
      </x:c>
      <x:c r="G43" s="18" t="n">
        <x:v>2475</x:v>
      </x:c>
      <x:c r="H43" s="18" t="n">
        <x:v>2475</x:v>
      </x:c>
      <x:c r="I43" s="18" t="n">
        <x:f>H43-G43</x:f>
        <x:v>0</x:v>
      </x:c>
      <x:c r="J43" s="19" t="n">
        <x:f>10000*C43/G43</x:f>
        <x:v>145502.22222222222</x:v>
      </x:c>
      <x:c r="K43" s="19" t="n">
        <x:f>10000*D43/H43</x:f>
        <x:v>152602.42424242425</x:v>
      </x:c>
      <x:c r="L43" s="19" t="n">
        <x:f>K43-J43</x:f>
        <x:v>7100.202020202036</x:v>
      </x:c>
      <x:c r="M43" s="14" t="str">
        <x:v>S1–S4</x:v>
      </x:c>
    </x:row>
    <x:row r="44" ht="24" customHeight="1">
      <x:c r="A44" s="2" t="str">
        <x:v>江苏省</x:v>
      </x:c>
      <x:c r="B44" s="13" t="n">
        <x:v>2015</x:v>
      </x:c>
      <x:c r="C44" s="9" t="n">
        <x:v>71255.9</x:v>
      </x:c>
      <x:c r="D44" s="9" t="n">
        <x:v>71876</x:v>
      </x:c>
      <x:c r="E44" s="9" t="n">
        <x:f>D44-C44</x:f>
        <x:v>620.1000000000058</x:v>
      </x:c>
      <x:c r="F44" s="10" t="n">
        <x:f>E44/C44</x:f>
        <x:v>0.00870243727186108</x:v>
      </x:c>
      <x:c r="G44" s="11" t="n">
        <x:v>8315</x:v>
      </x:c>
      <x:c r="H44" s="11" t="n">
        <x:v>8315</x:v>
      </x:c>
      <x:c r="I44" s="11" t="n">
        <x:f>H44-G44</x:f>
        <x:v>0</x:v>
      </x:c>
      <x:c r="J44" s="12" t="n">
        <x:f>10000*C44/G44</x:f>
        <x:v>85695.61034275407</x:v>
      </x:c>
      <x:c r="K44" s="12" t="n">
        <x:f>10000*D44/H44</x:f>
        <x:v>86441.37101623572</x:v>
      </x:c>
      <x:c r="L44" s="12" t="n">
        <x:f>K44-J44</x:f>
        <x:v>745.7606734816509</x:v>
      </x:c>
      <x:c r="M44" s="2" t="str">
        <x:v>S1–S4</x:v>
      </x:c>
    </x:row>
    <x:row r="45" ht="24" customHeight="1">
      <x:c r="A45" s="2" t="str">
        <x:v>江苏省</x:v>
      </x:c>
      <x:c r="B45" s="13" t="n">
        <x:v>2016</x:v>
      </x:c>
      <x:c r="C45" s="9" t="n">
        <x:v>77350.9</x:v>
      </x:c>
      <x:c r="D45" s="9" t="n">
        <x:v>78261.2</x:v>
      </x:c>
      <x:c r="E45" s="9" t="n">
        <x:f>D45-C45</x:f>
        <x:v>910.3000000000029</x:v>
      </x:c>
      <x:c r="F45" s="10" t="n">
        <x:f>E45/C45</x:f>
        <x:v>0.011768447425951126</x:v>
      </x:c>
      <x:c r="G45" s="11" t="n">
        <x:v>8381</x:v>
      </x:c>
      <x:c r="H45" s="11" t="n">
        <x:v>8381</x:v>
      </x:c>
      <x:c r="I45" s="11" t="n">
        <x:f>H45-G45</x:f>
        <x:v>0</x:v>
      </x:c>
      <x:c r="J45" s="12" t="n">
        <x:f>10000*C45/G45</x:f>
        <x:v>92293.1631070278</x:v>
      </x:c>
      <x:c r="K45" s="12" t="n">
        <x:f>10000*D45/H45</x:f>
        <x:v>93379.31034482758</x:v>
      </x:c>
      <x:c r="L45" s="12" t="n">
        <x:f>K45-J45</x:f>
        <x:v>1086.1472377997852</x:v>
      </x:c>
      <x:c r="M45" s="2" t="str">
        <x:v>S1–S4</x:v>
      </x:c>
    </x:row>
    <x:row r="46" ht="24" customHeight="1">
      <x:c r="A46" s="2" t="str">
        <x:v>江苏省</x:v>
      </x:c>
      <x:c r="B46" s="13" t="n">
        <x:v>2017</x:v>
      </x:c>
      <x:c r="C46" s="9" t="n">
        <x:v>85869.8</x:v>
      </x:c>
      <x:c r="D46" s="9" t="n">
        <x:v>86512.9</x:v>
      </x:c>
      <x:c r="E46" s="9" t="n">
        <x:f>D46-C46</x:f>
        <x:v>643.0999999999913</x:v>
      </x:c>
      <x:c r="F46" s="10" t="n">
        <x:f>E46/C46</x:f>
        <x:v>0.007489245345860725</x:v>
      </x:c>
      <x:c r="G46" s="11" t="n">
        <x:v>8423</x:v>
      </x:c>
      <x:c r="H46" s="11" t="n">
        <x:v>8423</x:v>
      </x:c>
      <x:c r="I46" s="11" t="n">
        <x:f>H46-G46</x:f>
        <x:v>0</x:v>
      </x:c>
      <x:c r="J46" s="12" t="n">
        <x:f>10000*C46/G46</x:f>
        <x:v>101946.8122996557</x:v>
      </x:c>
      <x:c r="K46" s="12" t="n">
        <x:f>10000*D46/H46</x:f>
        <x:v>102710.31698919625</x:v>
      </x:c>
      <x:c r="L46" s="12" t="n">
        <x:f>K46-J46</x:f>
        <x:v>763.5046895405394</x:v>
      </x:c>
      <x:c r="M46" s="2" t="str">
        <x:v>S1–S4</x:v>
      </x:c>
    </x:row>
    <x:row r="47" ht="24" customHeight="1">
      <x:c r="A47" s="2" t="str">
        <x:v>江苏省</x:v>
      </x:c>
      <x:c r="B47" s="13" t="n">
        <x:v>2018</x:v>
      </x:c>
      <x:c r="C47" s="9" t="n">
        <x:v>93207.6</x:v>
      </x:c>
      <x:c r="D47" s="9" t="n">
        <x:v>93456.3</x:v>
      </x:c>
      <x:c r="E47" s="9" t="n">
        <x:f>D47-C47</x:f>
        <x:v>248.6999999999971</x:v>
      </x:c>
      <x:c r="F47" s="10" t="n">
        <x:f>E47/C47</x:f>
        <x:v>0.0026682373540354762</x:v>
      </x:c>
      <x:c r="G47" s="11" t="n">
        <x:v>8446</x:v>
      </x:c>
      <x:c r="H47" s="11" t="n">
        <x:v>8446</x:v>
      </x:c>
      <x:c r="I47" s="11" t="n">
        <x:f>H47-G47</x:f>
        <x:v>0</x:v>
      </x:c>
      <x:c r="J47" s="12" t="n">
        <x:f>10000*C47/G47</x:f>
        <x:v>110357.09211461047</x:v>
      </x:c>
      <x:c r="K47" s="12" t="n">
        <x:f>10000*D47/H47</x:f>
        <x:v>110651.5510300734</x:v>
      </x:c>
      <x:c r="L47" s="12" t="n">
        <x:f>K47-J47</x:f>
        <x:v>294.4589154629357</x:v>
      </x:c>
      <x:c r="M47" s="2" t="str">
        <x:v>S1–S4</x:v>
      </x:c>
    </x:row>
    <x:row r="48" ht="24" customHeight="1">
      <x:c r="A48" s="14" t="str">
        <x:v>浙江省</x:v>
      </x:c>
      <x:c r="B48" s="15" t="n">
        <x:v>2015</x:v>
      </x:c>
      <x:c r="C48" s="16" t="n">
        <x:v>43507.7</x:v>
      </x:c>
      <x:c r="D48" s="16" t="n">
        <x:v>44222</x:v>
      </x:c>
      <x:c r="E48" s="16" t="n">
        <x:f>D48-C48</x:f>
        <x:v>714.3000000000029</x:v>
      </x:c>
      <x:c r="F48" s="17" t="n">
        <x:f>E48/C48</x:f>
        <x:v>0.016417783518779504</x:v>
      </x:c>
      <x:c r="G48" s="18" t="n">
        <x:v>5985</x:v>
      </x:c>
      <x:c r="H48" s="18" t="n">
        <x:v>5985</x:v>
      </x:c>
      <x:c r="I48" s="18" t="n">
        <x:f>H48-G48</x:f>
        <x:v>0</x:v>
      </x:c>
      <x:c r="J48" s="19" t="n">
        <x:f>10000*C48/G48</x:f>
        <x:v>72694.56975772766</x:v>
      </x:c>
      <x:c r="K48" s="19" t="n">
        <x:f>10000*D48/H48</x:f>
        <x:v>73888.05346700083</x:v>
      </x:c>
      <x:c r="L48" s="19" t="n">
        <x:f>K48-J48</x:f>
        <x:v>1193.483709273176</x:v>
      </x:c>
      <x:c r="M48" s="14" t="str">
        <x:v>S1–S4</x:v>
      </x:c>
    </x:row>
    <x:row r="49" ht="24" customHeight="1">
      <x:c r="A49" s="14" t="str">
        <x:v>浙江省</x:v>
      </x:c>
      <x:c r="B49" s="15" t="n">
        <x:v>2016</x:v>
      </x:c>
      <x:c r="C49" s="16" t="n">
        <x:v>47254</x:v>
      </x:c>
      <x:c r="D49" s="16" t="n">
        <x:v>48095.8</x:v>
      </x:c>
      <x:c r="E49" s="16" t="n">
        <x:f>D49-C49</x:f>
        <x:v>841.8000000000029</x:v>
      </x:c>
      <x:c r="F49" s="17" t="n">
        <x:f>E49/C49</x:f>
        <x:v>0.01781436492148819</x:v>
      </x:c>
      <x:c r="G49" s="18" t="n">
        <x:v>6072</x:v>
      </x:c>
      <x:c r="H49" s="18" t="n">
        <x:v>6072</x:v>
      </x:c>
      <x:c r="I49" s="18" t="n">
        <x:f>H49-G49</x:f>
        <x:v>0</x:v>
      </x:c>
      <x:c r="J49" s="19" t="n">
        <x:f>10000*C49/G49</x:f>
        <x:v>77822.79314888011</x:v>
      </x:c>
      <x:c r="K49" s="19" t="n">
        <x:f>10000*D49/H49</x:f>
        <x:v>79209.15678524374</x:v>
      </x:c>
      <x:c r="L49" s="19" t="n">
        <x:f>K49-J49</x:f>
        <x:v>1386.3636363636324</x:v>
      </x:c>
      <x:c r="M49" s="14" t="str">
        <x:v>S1–S4</x:v>
      </x:c>
    </x:row>
    <x:row r="50" ht="24" customHeight="1">
      <x:c r="A50" s="14" t="str">
        <x:v>浙江省</x:v>
      </x:c>
      <x:c r="B50" s="15" t="n">
        <x:v>2017</x:v>
      </x:c>
      <x:c r="C50" s="16" t="n">
        <x:v>52403.1</x:v>
      </x:c>
      <x:c r="D50" s="16" t="n">
        <x:v>53135.2</x:v>
      </x:c>
      <x:c r="E50" s="16" t="n">
        <x:f>D50-C50</x:f>
        <x:v>732.0999999999985</x:v>
      </x:c>
      <x:c r="F50" s="17" t="n">
        <x:f>E50/C50</x:f>
        <x:v>0.013970547543942984</x:v>
      </x:c>
      <x:c r="G50" s="18" t="n">
        <x:v>6170</x:v>
      </x:c>
      <x:c r="H50" s="18" t="n">
        <x:v>6170</x:v>
      </x:c>
      <x:c r="I50" s="18" t="n">
        <x:f>H50-G50</x:f>
        <x:v>0</x:v>
      </x:c>
      <x:c r="J50" s="19" t="n">
        <x:f>10000*C50/G50</x:f>
        <x:v>84932.0907617504</x:v>
      </x:c>
      <x:c r="K50" s="19" t="n">
        <x:f>10000*D50/H50</x:f>
        <x:v>86118.63857374393</x:v>
      </x:c>
      <x:c r="L50" s="19" t="n">
        <x:f>K50-J50</x:f>
        <x:v>1186.5478119935287</x:v>
      </x:c>
      <x:c r="M50" s="14" t="str">
        <x:v>S1–S4</x:v>
      </x:c>
    </x:row>
    <x:row r="51" ht="24" customHeight="1">
      <x:c r="A51" s="14" t="str">
        <x:v>浙江省</x:v>
      </x:c>
      <x:c r="B51" s="15" t="n">
        <x:v>2018</x:v>
      </x:c>
      <x:c r="C51" s="16" t="n">
        <x:v>58002.8</x:v>
      </x:c>
      <x:c r="D51" s="16" t="n">
        <x:v>59311.7</x:v>
      </x:c>
      <x:c r="E51" s="16" t="n">
        <x:f>D51-C51</x:f>
        <x:v>1308.8999999999942</x:v>
      </x:c>
      <x:c r="F51" s="17" t="n">
        <x:f>E51/C51</x:f>
        <x:v>0.022566151978869884</x:v>
      </x:c>
      <x:c r="G51" s="18" t="n">
        <x:v>6273</x:v>
      </x:c>
      <x:c r="H51" s="18" t="n">
        <x:v>6273</x:v>
      </x:c>
      <x:c r="I51" s="18" t="n">
        <x:f>H51-G51</x:f>
        <x:v>0</x:v>
      </x:c>
      <x:c r="J51" s="19" t="n">
        <x:f>10000*C51/G51</x:f>
        <x:v>92464.21170094053</x:v>
      </x:c>
      <x:c r="K51" s="19" t="n">
        <x:f>10000*D51/H51</x:f>
        <x:v>94550.77315479037</x:v>
      </x:c>
      <x:c r="L51" s="19" t="n">
        <x:f>K51-J51</x:f>
        <x:v>2086.561453849834</x:v>
      </x:c>
      <x:c r="M51" s="14" t="str">
        <x:v>S1–S4</x:v>
      </x:c>
    </x:row>
    <x:row r="52" ht="24" customHeight="1">
      <x:c r="A52" s="2" t="str">
        <x:v>安徽省</x:v>
      </x:c>
      <x:c r="B52" s="13" t="n">
        <x:v>2015</x:v>
      </x:c>
      <x:c r="C52" s="9" t="n">
        <x:v>23831.2</x:v>
      </x:c>
      <x:c r="D52" s="9" t="n">
        <x:v>24142.7</x:v>
      </x:c>
      <x:c r="E52" s="9" t="n">
        <x:f>D52-C52</x:f>
        <x:v>311.5</x:v>
      </x:c>
      <x:c r="F52" s="10" t="n">
        <x:f>E52/C52</x:f>
        <x:v>0.01307110007049582</x:v>
      </x:c>
      <x:c r="G52" s="11" t="n">
        <x:v>6011</x:v>
      </x:c>
      <x:c r="H52" s="11" t="n">
        <x:v>6011</x:v>
      </x:c>
      <x:c r="I52" s="11" t="n">
        <x:f>H52-G52</x:f>
        <x:v>0</x:v>
      </x:c>
      <x:c r="J52" s="12" t="n">
        <x:f>10000*C52/G52</x:f>
        <x:v>39645.98236566295</x:v>
      </x:c>
      <x:c r="K52" s="12" t="n">
        <x:f>10000*D52/H52</x:f>
        <x:v>40164.19896855764</x:v>
      </x:c>
      <x:c r="L52" s="12" t="n">
        <x:f>K52-J52</x:f>
        <x:v>518.2166028946885</x:v>
      </x:c>
      <x:c r="M52" s="2" t="str">
        <x:v>S1–S4</x:v>
      </x:c>
    </x:row>
    <x:row r="53" ht="24" customHeight="1">
      <x:c r="A53" s="2" t="str">
        <x:v>安徽省</x:v>
      </x:c>
      <x:c r="B53" s="13" t="n">
        <x:v>2016</x:v>
      </x:c>
      <x:c r="C53" s="9" t="n">
        <x:v>26307.7</x:v>
      </x:c>
      <x:c r="D53" s="9" t="n">
        <x:v>26801.2</x:v>
      </x:c>
      <x:c r="E53" s="9" t="n">
        <x:f>D53-C53</x:f>
        <x:v>493.5</x:v>
      </x:c>
      <x:c r="F53" s="10" t="n">
        <x:f>E53/C53</x:f>
        <x:v>0.018758766444805133</x:v>
      </x:c>
      <x:c r="G53" s="11" t="n">
        <x:v>6033</x:v>
      </x:c>
      <x:c r="H53" s="11" t="n">
        <x:v>6033</x:v>
      </x:c>
      <x:c r="I53" s="11" t="n">
        <x:f>H53-G53</x:f>
        <x:v>0</x:v>
      </x:c>
      <x:c r="J53" s="12" t="n">
        <x:f>10000*C53/G53</x:f>
        <x:v>43606.33184153821</x:v>
      </x:c>
      <x:c r="K53" s="12" t="n">
        <x:f>10000*D53/H53</x:f>
        <x:v>44424.33283606829</x:v>
      </x:c>
      <x:c r="L53" s="12" t="n">
        <x:f>K53-J53</x:f>
        <x:v>818.0009945300844</x:v>
      </x:c>
      <x:c r="M53" s="2" t="str">
        <x:v>S1–S4</x:v>
      </x:c>
    </x:row>
    <x:row r="54" ht="24" customHeight="1">
      <x:c r="A54" s="2" t="str">
        <x:v>安徽省</x:v>
      </x:c>
      <x:c r="B54" s="13" t="n">
        <x:v>2017</x:v>
      </x:c>
      <x:c r="C54" s="9" t="n">
        <x:v>29676.2</x:v>
      </x:c>
      <x:c r="D54" s="9" t="n">
        <x:v>30141.8</x:v>
      </x:c>
      <x:c r="E54" s="9" t="n">
        <x:f>D54-C54</x:f>
        <x:v>465.59999999999854</x:v>
      </x:c>
      <x:c r="F54" s="10" t="n">
        <x:f>E54/C54</x:f>
        <x:v>0.015689340279415778</x:v>
      </x:c>
      <x:c r="G54" s="11" t="n">
        <x:v>6057</x:v>
      </x:c>
      <x:c r="H54" s="11" t="n">
        <x:v>6057</x:v>
      </x:c>
      <x:c r="I54" s="11" t="n">
        <x:f>H54-G54</x:f>
        <x:v>0</x:v>
      </x:c>
      <x:c r="J54" s="12" t="n">
        <x:f>10000*C54/G54</x:f>
        <x:v>48994.881954763085</x:v>
      </x:c>
      <x:c r="K54" s="12" t="n">
        <x:f>10000*D54/H54</x:f>
        <x:v>49763.57932970117</x:v>
      </x:c>
      <x:c r="L54" s="12" t="n">
        <x:f>K54-J54</x:f>
        <x:v>768.697374938085</x:v>
      </x:c>
      <x:c r="M54" s="2" t="str">
        <x:v>S1–S4</x:v>
      </x:c>
    </x:row>
    <x:row r="55" ht="24" customHeight="1">
      <x:c r="A55" s="2" t="str">
        <x:v>安徽省</x:v>
      </x:c>
      <x:c r="B55" s="13" t="n">
        <x:v>2018</x:v>
      </x:c>
      <x:c r="C55" s="9" t="n">
        <x:v>34010.9</x:v>
      </x:c>
      <x:c r="D55" s="9" t="n">
        <x:v>34377.3</x:v>
      </x:c>
      <x:c r="E55" s="9" t="n">
        <x:f>D55-C55</x:f>
        <x:v>366.40000000000146</x:v>
      </x:c>
      <x:c r="F55" s="10" t="n">
        <x:f>E55/C55</x:f>
        <x:v>0.010773016885763136</x:v>
      </x:c>
      <x:c r="G55" s="11" t="n">
        <x:v>6076</x:v>
      </x:c>
      <x:c r="H55" s="11" t="n">
        <x:v>6076</x:v>
      </x:c>
      <x:c r="I55" s="11" t="n">
        <x:f>H55-G55</x:f>
        <x:v>0</x:v>
      </x:c>
      <x:c r="J55" s="12" t="n">
        <x:f>10000*C55/G55</x:f>
        <x:v>55975.8064516129</x:v>
      </x:c>
      <x:c r="K55" s="12" t="n">
        <x:f>10000*D55/H55</x:f>
        <x:v>56578.834759710335</x:v>
      </x:c>
      <x:c r="L55" s="12" t="n">
        <x:f>K55-J55</x:f>
        <x:v>603.0283080974332</x:v>
      </x:c>
      <x:c r="M55" s="2" t="str">
        <x:v>S1–S4</x:v>
      </x:c>
    </x:row>
    <x:row r="56" ht="24" customHeight="1">
      <x:c r="A56" s="14" t="str">
        <x:v>福建省</x:v>
      </x:c>
      <x:c r="B56" s="15" t="n">
        <x:v>2015</x:v>
      </x:c>
      <x:c r="C56" s="16" t="n">
        <x:v>26819.5</x:v>
      </x:c>
      <x:c r="D56" s="16" t="n">
        <x:v>27307.5</x:v>
      </x:c>
      <x:c r="E56" s="16" t="n">
        <x:f>D56-C56</x:f>
        <x:v>488</x:v>
      </x:c>
      <x:c r="F56" s="17" t="n">
        <x:f>E56/C56</x:f>
        <x:v>0.018195715803799473</x:v>
      </x:c>
      <x:c r="G56" s="18" t="n">
        <x:v>3984</x:v>
      </x:c>
      <x:c r="H56" s="18" t="n">
        <x:v>3984</x:v>
      </x:c>
      <x:c r="I56" s="18" t="n">
        <x:f>H56-G56</x:f>
        <x:v>0</x:v>
      </x:c>
      <x:c r="J56" s="19" t="n">
        <x:f>10000*C56/G56</x:f>
        <x:v>67318.02208835342</x:v>
      </x:c>
      <x:c r="K56" s="19" t="n">
        <x:f>10000*D56/H56</x:f>
        <x:v>68542.921686747</x:v>
      </x:c>
      <x:c r="L56" s="19" t="n">
        <x:f>K56-J56</x:f>
        <x:v>1224.8995983935747</x:v>
      </x:c>
      <x:c r="M56" s="14" t="str">
        <x:v>S1–S4</x:v>
      </x:c>
    </x:row>
    <x:row r="57" ht="24" customHeight="1">
      <x:c r="A57" s="14" t="str">
        <x:v>福建省</x:v>
      </x:c>
      <x:c r="B57" s="15" t="n">
        <x:v>2016</x:v>
      </x:c>
      <x:c r="C57" s="16" t="n">
        <x:v>29609.4</x:v>
      </x:c>
      <x:c r="D57" s="16" t="n">
        <x:v>30199.2</x:v>
      </x:c>
      <x:c r="E57" s="16" t="n">
        <x:f>D57-C57</x:f>
        <x:v>589.7999999999993</x:v>
      </x:c>
      <x:c r="F57" s="17" t="n">
        <x:f>E57/C57</x:f>
        <x:v>0.019919349936168895</x:v>
      </x:c>
      <x:c r="G57" s="18" t="n">
        <x:v>4016</x:v>
      </x:c>
      <x:c r="H57" s="18" t="n">
        <x:v>4016</x:v>
      </x:c>
      <x:c r="I57" s="18" t="n">
        <x:f>H57-G57</x:f>
        <x:v>0</x:v>
      </x:c>
      <x:c r="J57" s="19" t="n">
        <x:f>10000*C57/G57</x:f>
        <x:v>73728.58565737052</x:v>
      </x:c>
      <x:c r="K57" s="19" t="n">
        <x:f>10000*D57/H57</x:f>
        <x:v>75197.21115537849</x:v>
      </x:c>
      <x:c r="L57" s="19" t="n">
        <x:f>K57-J57</x:f>
        <x:v>1468.6254980079684</x:v>
      </x:c>
      <x:c r="M57" s="14" t="str">
        <x:v>S1–S4</x:v>
      </x:c>
    </x:row>
    <x:row r="58" ht="24" customHeight="1">
      <x:c r="A58" s="14" t="str">
        <x:v>福建省</x:v>
      </x:c>
      <x:c r="B58" s="15" t="n">
        <x:v>2017</x:v>
      </x:c>
      <x:c r="C58" s="16" t="n">
        <x:v>33842.4</x:v>
      </x:c>
      <x:c r="D58" s="16" t="n">
        <x:v>34432.2</x:v>
      </x:c>
      <x:c r="E58" s="16" t="n">
        <x:f>D58-C58</x:f>
        <x:v>589.7999999999956</x:v>
      </x:c>
      <x:c r="F58" s="17" t="n">
        <x:f>E58/C58</x:f>
        <x:v>0.017427841997021357</x:v>
      </x:c>
      <x:c r="G58" s="18" t="n">
        <x:v>4065</x:v>
      </x:c>
      <x:c r="H58" s="18" t="n">
        <x:v>4065</x:v>
      </x:c>
      <x:c r="I58" s="18" t="n">
        <x:f>H58-G58</x:f>
        <x:v>0</x:v>
      </x:c>
      <x:c r="J58" s="19" t="n">
        <x:f>10000*C58/G58</x:f>
        <x:v>83253.13653136531</x:v>
      </x:c>
      <x:c r="K58" s="19" t="n">
        <x:f>10000*D58/H58</x:f>
        <x:v>84704.05904059041</x:v>
      </x:c>
      <x:c r="L58" s="19" t="n">
        <x:f>K58-J58</x:f>
        <x:v>1450.9225092251</x:v>
      </x:c>
      <x:c r="M58" s="14" t="str">
        <x:v>S1–S4</x:v>
      </x:c>
    </x:row>
    <x:row r="59" ht="24" customHeight="1">
      <x:c r="A59" s="14" t="str">
        <x:v>福建省</x:v>
      </x:c>
      <x:c r="B59" s="15" t="n">
        <x:v>2018</x:v>
      </x:c>
      <x:c r="C59" s="16" t="n">
        <x:v>38687.8</x:v>
      </x:c>
      <x:c r="D59" s="16" t="n">
        <x:v>39204.8</x:v>
      </x:c>
      <x:c r="E59" s="16" t="n">
        <x:f>D59-C59</x:f>
        <x:v>517</x:v>
      </x:c>
      <x:c r="F59" s="17" t="n">
        <x:f>E59/C59</x:f>
        <x:v>0.013363385873582885</x:v>
      </x:c>
      <x:c r="G59" s="18" t="n">
        <x:v>4104</x:v>
      </x:c>
      <x:c r="H59" s="18" t="n">
        <x:v>4104</x:v>
      </x:c>
      <x:c r="I59" s="18" t="n">
        <x:f>H59-G59</x:f>
        <x:v>0</x:v>
      </x:c>
      <x:c r="J59" s="19" t="n">
        <x:f>10000*C59/G59</x:f>
        <x:v>94268.51851851853</x:v>
      </x:c>
      <x:c r="K59" s="19" t="n">
        <x:f>10000*D59/H59</x:f>
        <x:v>95528.26510721247</x:v>
      </x:c>
      <x:c r="L59" s="19" t="n">
        <x:f>K59-J59</x:f>
        <x:v>1259.7465886939463</x:v>
      </x:c>
      <x:c r="M59" s="14" t="str">
        <x:v>S1–S4</x:v>
      </x:c>
    </x:row>
    <x:row r="60" ht="24" customHeight="1">
      <x:c r="A60" s="2" t="str">
        <x:v>江西省</x:v>
      </x:c>
      <x:c r="B60" s="13" t="n">
        <x:v>2015</x:v>
      </x:c>
      <x:c r="C60" s="9" t="n">
        <x:v>16780.9</x:v>
      </x:c>
      <x:c r="D60" s="9" t="n">
        <x:v>17031.1</x:v>
      </x:c>
      <x:c r="E60" s="9" t="n">
        <x:f>D60-C60</x:f>
        <x:v>250.1999999999971</x:v>
      </x:c>
      <x:c r="F60" s="10" t="n">
        <x:f>E60/C60</x:f>
        <x:v>0.01490980817476995</x:v>
      </x:c>
      <x:c r="G60" s="11" t="n">
        <x:v>4485</x:v>
      </x:c>
      <x:c r="H60" s="11" t="n">
        <x:v>4485</x:v>
      </x:c>
      <x:c r="I60" s="11" t="n">
        <x:f>H60-G60</x:f>
        <x:v>0</x:v>
      </x:c>
      <x:c r="J60" s="12" t="n">
        <x:f>10000*C60/G60</x:f>
        <x:v>37415.60758082497</x:v>
      </x:c>
      <x:c r="K60" s="12" t="n">
        <x:f>10000*D60/H60</x:f>
        <x:v>37973.467112597544</x:v>
      </x:c>
      <x:c r="L60" s="12" t="n">
        <x:f>K60-J60</x:f>
        <x:v>557.8595317725703</x:v>
      </x:c>
      <x:c r="M60" s="2" t="str">
        <x:v>S1–S4</x:v>
      </x:c>
    </x:row>
    <x:row r="61" ht="24" customHeight="1">
      <x:c r="A61" s="2" t="str">
        <x:v>江西省</x:v>
      </x:c>
      <x:c r="B61" s="13" t="n">
        <x:v>2016</x:v>
      </x:c>
      <x:c r="C61" s="9" t="n">
        <x:v>18388.6</x:v>
      </x:c>
      <x:c r="D61" s="9" t="n">
        <x:v>18761.2</x:v>
      </x:c>
      <x:c r="E61" s="9" t="n">
        <x:f>D61-C61</x:f>
        <x:v>372.6000000000022</x:v>
      </x:c>
      <x:c r="F61" s="10" t="n">
        <x:f>E61/C61</x:f>
        <x:v>0.020262553973657713</x:v>
      </x:c>
      <x:c r="G61" s="11" t="n">
        <x:v>4496</x:v>
      </x:c>
      <x:c r="H61" s="11" t="n">
        <x:v>4496</x:v>
      </x:c>
      <x:c r="I61" s="11" t="n">
        <x:f>H61-G61</x:f>
        <x:v>0</x:v>
      </x:c>
      <x:c r="J61" s="12" t="n">
        <x:f>10000*C61/G61</x:f>
        <x:v>40899.91103202847</x:v>
      </x:c>
      <x:c r="K61" s="12" t="n">
        <x:f>10000*D61/H61</x:f>
        <x:v>41728.64768683274</x:v>
      </x:c>
      <x:c r="L61" s="12" t="n">
        <x:f>K61-J61</x:f>
        <x:v>828.7366548042701</x:v>
      </x:c>
      <x:c r="M61" s="2" t="str">
        <x:v>S1–S4</x:v>
      </x:c>
    </x:row>
    <x:row r="62" ht="24" customHeight="1">
      <x:c r="A62" s="2" t="str">
        <x:v>江西省</x:v>
      </x:c>
      <x:c r="B62" s="13" t="n">
        <x:v>2017</x:v>
      </x:c>
      <x:c r="C62" s="9" t="n">
        <x:v>20210.8</x:v>
      </x:c>
      <x:c r="D62" s="9" t="n">
        <x:v>20497.6</x:v>
      </x:c>
      <x:c r="E62" s="9" t="n">
        <x:f>D62-C62</x:f>
        <x:v>286.7999999999993</x:v>
      </x:c>
      <x:c r="F62" s="10" t="n">
        <x:f>E62/C62</x:f>
        <x:v>0.014190432837888619</x:v>
      </x:c>
      <x:c r="G62" s="11" t="n">
        <x:v>4511</x:v>
      </x:c>
      <x:c r="H62" s="11" t="n">
        <x:v>4511</x:v>
      </x:c>
      <x:c r="I62" s="11" t="n">
        <x:f>H62-G62</x:f>
        <x:v>0</x:v>
      </x:c>
      <x:c r="J62" s="12" t="n">
        <x:f>10000*C62/G62</x:f>
        <x:v>44803.369541121705</x:v>
      </x:c>
      <x:c r="K62" s="12" t="n">
        <x:f>10000*D62/H62</x:f>
        <x:v>45439.14874750609</x:v>
      </x:c>
      <x:c r="L62" s="12" t="n">
        <x:f>K62-J62</x:f>
        <x:v>635.7792063843881</x:v>
      </x:c>
      <x:c r="M62" s="2" t="str">
        <x:v>S1–S4</x:v>
      </x:c>
    </x:row>
    <x:row r="63" ht="24" customHeight="1">
      <x:c r="A63" s="2" t="str">
        <x:v>江西省</x:v>
      </x:c>
      <x:c r="B63" s="13" t="n">
        <x:v>2018</x:v>
      </x:c>
      <x:c r="C63" s="9" t="n">
        <x:v>22716.5</x:v>
      </x:c>
      <x:c r="D63" s="9" t="n">
        <x:v>23016.9</x:v>
      </x:c>
      <x:c r="E63" s="9" t="n">
        <x:f>D63-C63</x:f>
        <x:v>300.40000000000146</x:v>
      </x:c>
      <x:c r="F63" s="10" t="n">
        <x:f>E63/C63</x:f>
        <x:v>0.013223868113485856</x:v>
      </x:c>
      <x:c r="G63" s="11" t="n">
        <x:v>4513</x:v>
      </x:c>
      <x:c r="H63" s="11" t="n">
        <x:v>4513</x:v>
      </x:c>
      <x:c r="I63" s="11" t="n">
        <x:f>H63-G63</x:f>
        <x:v>0</x:v>
      </x:c>
      <x:c r="J63" s="12" t="n">
        <x:f>10000*C63/G63</x:f>
        <x:v>50335.69687569245</x:v>
      </x:c>
      <x:c r="K63" s="12" t="n">
        <x:f>10000*D63/H63</x:f>
        <x:v>51001.329492577</x:v>
      </x:c>
      <x:c r="L63" s="12" t="n">
        <x:f>K63-J63</x:f>
        <x:v>665.6326168845553</x:v>
      </x:c>
      <x:c r="M63" s="2" t="str">
        <x:v>S1–S4</x:v>
      </x:c>
    </x:row>
    <x:row r="64" ht="24" customHeight="1">
      <x:c r="A64" s="14" t="str">
        <x:v>山东省</x:v>
      </x:c>
      <x:c r="B64" s="15" t="n">
        <x:v>2015</x:v>
      </x:c>
      <x:c r="C64" s="16" t="n">
        <x:v>55288.8</x:v>
      </x:c>
      <x:c r="D64" s="16" t="n">
        <x:v>56159.1</x:v>
      </x:c>
      <x:c r="E64" s="16" t="n">
        <x:f>D64-C64</x:f>
        <x:v>870.2999999999956</x:v>
      </x:c>
      <x:c r="F64" s="17" t="n">
        <x:f>E64/C64</x:f>
        <x:v>0.015740981898684645</x:v>
      </x:c>
      <x:c r="G64" s="18" t="n">
        <x:v>9866</x:v>
      </x:c>
      <x:c r="H64" s="18" t="n">
        <x:v>9866</x:v>
      </x:c>
      <x:c r="I64" s="18" t="n">
        <x:f>H64-G64</x:f>
        <x:v>0</x:v>
      </x:c>
      <x:c r="J64" s="19" t="n">
        <x:f>10000*C64/G64</x:f>
        <x:v>56039.73241435232</x:v>
      </x:c>
      <x:c r="K64" s="19" t="n">
        <x:f>10000*D64/H64</x:f>
        <x:v>56921.852827893774</x:v>
      </x:c>
      <x:c r="L64" s="19" t="n">
        <x:f>K64-J64</x:f>
        <x:v>882.1204135414519</x:v>
      </x:c>
      <x:c r="M64" s="14" t="str">
        <x:v>S1–S4</x:v>
      </x:c>
    </x:row>
    <x:row r="65" ht="24" customHeight="1">
      <x:c r="A65" s="14" t="str">
        <x:v>山东省</x:v>
      </x:c>
      <x:c r="B65" s="15" t="n">
        <x:v>2016</x:v>
      </x:c>
      <x:c r="C65" s="16" t="n">
        <x:v>58762.5</x:v>
      </x:c>
      <x:c r="D65" s="16" t="n">
        <x:v>59702.6</x:v>
      </x:c>
      <x:c r="E65" s="16" t="n">
        <x:f>D65-C65</x:f>
        <x:v>940.0999999999985</x:v>
      </x:c>
      <x:c r="F65" s="17" t="n">
        <x:f>E65/C65</x:f>
        <x:v>0.015998298234418184</x:v>
      </x:c>
      <x:c r="G65" s="18" t="n">
        <x:v>9973</x:v>
      </x:c>
      <x:c r="H65" s="18" t="n">
        <x:v>9973</x:v>
      </x:c>
      <x:c r="I65" s="18" t="n">
        <x:f>H65-G65</x:f>
        <x:v>0</x:v>
      </x:c>
      <x:c r="J65" s="19" t="n">
        <x:f>10000*C65/G65</x:f>
        <x:v>58921.588288378625</x:v>
      </x:c>
      <x:c r="K65" s="19" t="n">
        <x:f>10000*D65/H65</x:f>
        <x:v>59864.23343026171</x:v>
      </x:c>
      <x:c r="L65" s="19" t="n">
        <x:f>K65-J65</x:f>
        <x:v>942.6451418830839</x:v>
      </x:c>
      <x:c r="M65" s="14" t="str">
        <x:v>S1–S4</x:v>
      </x:c>
    </x:row>
    <x:row r="66" ht="24" customHeight="1">
      <x:c r="A66" s="14" t="str">
        <x:v>山东省</x:v>
      </x:c>
      <x:c r="B66" s="15" t="n">
        <x:v>2017</x:v>
      </x:c>
      <x:c r="C66" s="16" t="n">
        <x:v>63012.1</x:v>
      </x:c>
      <x:c r="D66" s="16" t="n">
        <x:v>63958.6</x:v>
      </x:c>
      <x:c r="E66" s="16" t="n">
        <x:f>D66-C66</x:f>
        <x:v>946.5</x:v>
      </x:c>
      <x:c r="F66" s="17" t="n">
        <x:f>E66/C66</x:f>
        <x:v>0.015020924552585932</x:v>
      </x:c>
      <x:c r="G66" s="18" t="n">
        <x:v>10033</x:v>
      </x:c>
      <x:c r="H66" s="18" t="n">
        <x:v>10033</x:v>
      </x:c>
      <x:c r="I66" s="18" t="n">
        <x:f>H66-G66</x:f>
        <x:v>0</x:v>
      </x:c>
      <x:c r="J66" s="19" t="n">
        <x:f>10000*C66/G66</x:f>
        <x:v>62804.84401475132</x:v>
      </x:c>
      <x:c r="K66" s="19" t="n">
        <x:f>10000*D66/H66</x:f>
        <x:v>63748.23083823383</x:v>
      </x:c>
      <x:c r="L66" s="19" t="n">
        <x:f>K66-J66</x:f>
        <x:v>943.3868234825131</x:v>
      </x:c>
      <x:c r="M66" s="14" t="str">
        <x:v>S1–S4</x:v>
      </x:c>
    </x:row>
    <x:row r="67" ht="24" customHeight="1">
      <x:c r="A67" s="14" t="str">
        <x:v>山东省</x:v>
      </x:c>
      <x:c r="B67" s="15" t="n">
        <x:v>2018</x:v>
      </x:c>
      <x:c r="C67" s="16" t="n">
        <x:v>66648.9</x:v>
      </x:c>
      <x:c r="D67" s="16" t="n">
        <x:v>67864.4</x:v>
      </x:c>
      <x:c r="E67" s="16" t="n">
        <x:f>D67-C67</x:f>
        <x:v>1215.5</x:v>
      </x:c>
      <x:c r="F67" s="17" t="n">
        <x:f>E67/C67</x:f>
        <x:v>0.01823736025650836</x:v>
      </x:c>
      <x:c r="G67" s="18" t="n">
        <x:v>10077</x:v>
      </x:c>
      <x:c r="H67" s="18" t="n">
        <x:v>10077</x:v>
      </x:c>
      <x:c r="I67" s="18" t="n">
        <x:f>H67-G67</x:f>
        <x:v>0</x:v>
      </x:c>
      <x:c r="J67" s="19" t="n">
        <x:f>10000*C67/G67</x:f>
        <x:v>66139.62488835963</x:v>
      </x:c>
      <x:c r="K67" s="19" t="n">
        <x:f>10000*D67/H67</x:f>
        <x:v>67345.83705467897</x:v>
      </x:c>
      <x:c r="L67" s="19" t="n">
        <x:f>K67-J67</x:f>
        <x:v>1206.2121663193393</x:v>
      </x:c>
      <x:c r="M67" s="14" t="str">
        <x:v>S1–S4</x:v>
      </x:c>
    </x:row>
    <x:row r="68" ht="24" customHeight="1">
      <x:c r="A68" s="2" t="str">
        <x:v>河南省</x:v>
      </x:c>
      <x:c r="B68" s="13" t="n">
        <x:v>2015</x:v>
      </x:c>
      <x:c r="C68" s="9" t="n">
        <x:v>37084.1</x:v>
      </x:c>
      <x:c r="D68" s="9" t="n">
        <x:v>36798.2</x:v>
      </x:c>
      <x:c r="E68" s="9" t="n">
        <x:f>D68-C68</x:f>
        <x:v>-285.90000000000146</x:v>
      </x:c>
      <x:c r="F68" s="10" t="n">
        <x:f>E68/C68</x:f>
        <x:v>-0.0077095035338595646</x:v>
      </x:c>
      <x:c r="G68" s="11" t="n">
        <x:v>9701</x:v>
      </x:c>
      <x:c r="H68" s="11" t="n">
        <x:v>9701</x:v>
      </x:c>
      <x:c r="I68" s="11" t="n">
        <x:f>H68-G68</x:f>
        <x:v>0</x:v>
      </x:c>
      <x:c r="J68" s="12" t="n">
        <x:f>10000*C68/G68</x:f>
        <x:v>38227.089990722605</x:v>
      </x:c>
      <x:c r="K68" s="12" t="n">
        <x:f>10000*D68/H68</x:f>
        <x:v>37932.37810534996</x:v>
      </x:c>
      <x:c r="L68" s="12" t="n">
        <x:f>K68-J68</x:f>
        <x:v>-294.7118853726424</x:v>
      </x:c>
      <x:c r="M68" s="2" t="str">
        <x:v>S1–S4</x:v>
      </x:c>
    </x:row>
    <x:row r="69" ht="24" customHeight="1">
      <x:c r="A69" s="2" t="str">
        <x:v>河南省</x:v>
      </x:c>
      <x:c r="B69" s="13" t="n">
        <x:v>2016</x:v>
      </x:c>
      <x:c r="C69" s="9" t="n">
        <x:v>40249.3</x:v>
      </x:c>
      <x:c r="D69" s="9" t="n">
        <x:v>40167.7</x:v>
      </x:c>
      <x:c r="E69" s="9" t="n">
        <x:f>D69-C69</x:f>
        <x:v>-81.60000000000582</x:v>
      </x:c>
      <x:c r="F69" s="10" t="n">
        <x:f>E69/C69</x:f>
        <x:v>-0.0020273644510589205</x:v>
      </x:c>
      <x:c r="G69" s="11" t="n">
        <x:v>9778</x:v>
      </x:c>
      <x:c r="H69" s="11" t="n">
        <x:v>9778</x:v>
      </x:c>
      <x:c r="I69" s="11" t="n">
        <x:f>H69-G69</x:f>
        <x:v>0</x:v>
      </x:c>
      <x:c r="J69" s="12" t="n">
        <x:f>10000*C69/G69</x:f>
        <x:v>41163.12129269789</x:v>
      </x:c>
      <x:c r="K69" s="12" t="n">
        <x:f>10000*D69/H69</x:f>
        <x:v>41079.66864389446</x:v>
      </x:c>
      <x:c r="L69" s="12" t="n">
        <x:f>K69-J69</x:f>
        <x:v>-83.45264880343166</x:v>
      </x:c>
      <x:c r="M69" s="2" t="str">
        <x:v>S1–S4</x:v>
      </x:c>
    </x:row>
    <x:row r="70" ht="24" customHeight="1">
      <x:c r="A70" s="2" t="str">
        <x:v>河南省</x:v>
      </x:c>
      <x:c r="B70" s="13" t="n">
        <x:v>2017</x:v>
      </x:c>
      <x:c r="C70" s="9" t="n">
        <x:v>44824.9</x:v>
      </x:c>
      <x:c r="D70" s="9" t="n">
        <x:v>44586.5</x:v>
      </x:c>
      <x:c r="E70" s="9" t="n">
        <x:f>D70-C70</x:f>
        <x:v>-238.40000000000146</x:v>
      </x:c>
      <x:c r="F70" s="10" t="n">
        <x:f>E70/C70</x:f>
        <x:v>-0.005318472545393329</x:v>
      </x:c>
      <x:c r="G70" s="11" t="n">
        <x:v>9829</x:v>
      </x:c>
      <x:c r="H70" s="11" t="n">
        <x:v>9829</x:v>
      </x:c>
      <x:c r="I70" s="11" t="n">
        <x:f>H70-G70</x:f>
        <x:v>0</x:v>
      </x:c>
      <x:c r="J70" s="12" t="n">
        <x:f>10000*C70/G70</x:f>
        <x:v>45604.74107233696</x:v>
      </x:c>
      <x:c r="K70" s="12" t="n">
        <x:f>10000*D70/H70</x:f>
        <x:v>45362.19350900397</x:v>
      </x:c>
      <x:c r="L70" s="12" t="n">
        <x:f>K70-J70</x:f>
        <x:v>-242.54756333299156</x:v>
      </x:c>
      <x:c r="M70" s="2" t="str">
        <x:v>S1–S4</x:v>
      </x:c>
    </x:row>
    <x:row r="71" ht="24" customHeight="1">
      <x:c r="A71" s="2" t="str">
        <x:v>河南省</x:v>
      </x:c>
      <x:c r="B71" s="13" t="n">
        <x:v>2018</x:v>
      </x:c>
      <x:c r="C71" s="9" t="n">
        <x:v>49935.9</x:v>
      </x:c>
      <x:c r="D71" s="9" t="n">
        <x:v>50273.5</x:v>
      </x:c>
      <x:c r="E71" s="9" t="n">
        <x:f>D71-C71</x:f>
        <x:v>337.59999999999854</x:v>
      </x:c>
      <x:c r="F71" s="10" t="n">
        <x:f>E71/C71</x:f>
        <x:v>0.00676066717531873</x:v>
      </x:c>
      <x:c r="G71" s="11" t="n">
        <x:v>9864</x:v>
      </x:c>
      <x:c r="H71" s="11" t="n">
        <x:v>9864</x:v>
      </x:c>
      <x:c r="I71" s="11" t="n">
        <x:f>H71-G71</x:f>
        <x:v>0</x:v>
      </x:c>
      <x:c r="J71" s="12" t="n">
        <x:f>10000*C71/G71</x:f>
        <x:v>50624.391727493916</x:v>
      </x:c>
      <x:c r="K71" s="12" t="n">
        <x:f>10000*D71/H71</x:f>
        <x:v>50966.64639091647</x:v>
      </x:c>
      <x:c r="L71" s="12" t="n">
        <x:f>K71-J71</x:f>
        <x:v>342.25466342255095</x:v>
      </x:c>
      <x:c r="M71" s="2" t="str">
        <x:v>S1–S4</x:v>
      </x:c>
    </x:row>
    <x:row r="72" ht="24" customHeight="1">
      <x:c r="A72" s="14" t="str">
        <x:v>湖北省</x:v>
      </x:c>
      <x:c r="B72" s="15" t="n">
        <x:v>2015</x:v>
      </x:c>
      <x:c r="C72" s="16" t="n">
        <x:v>30344</x:v>
      </x:c>
      <x:c r="D72" s="16" t="n">
        <x:v>30661.6</x:v>
      </x:c>
      <x:c r="E72" s="16" t="n">
        <x:f>D72-C72</x:f>
        <x:v>317.59999999999854</x:v>
      </x:c>
      <x:c r="F72" s="17" t="n">
        <x:f>E72/C72</x:f>
        <x:v>0.010466649090429691</x:v>
      </x:c>
      <x:c r="G72" s="18" t="n">
        <x:v>5850</x:v>
      </x:c>
      <x:c r="H72" s="18" t="n">
        <x:v>5850</x:v>
      </x:c>
      <x:c r="I72" s="18" t="n">
        <x:f>H72-G72</x:f>
        <x:v>0</x:v>
      </x:c>
      <x:c r="J72" s="19" t="n">
        <x:f>10000*C72/G72</x:f>
        <x:v>51870.08547008547</x:v>
      </x:c>
      <x:c r="K72" s="19" t="n">
        <x:f>10000*D72/H72</x:f>
        <x:v>52412.99145299145</x:v>
      </x:c>
      <x:c r="L72" s="19" t="n">
        <x:f>K72-J72</x:f>
        <x:v>542.9059829059843</x:v>
      </x:c>
      <x:c r="M72" s="14" t="str">
        <x:v>S1–S4</x:v>
      </x:c>
    </x:row>
    <x:row r="73" ht="24" customHeight="1">
      <x:c r="A73" s="14" t="str">
        <x:v>湖北省</x:v>
      </x:c>
      <x:c r="B73" s="15" t="n">
        <x:v>2016</x:v>
      </x:c>
      <x:c r="C73" s="16" t="n">
        <x:v>33353</x:v>
      </x:c>
      <x:c r="D73" s="16" t="n">
        <x:v>33767.6</x:v>
      </x:c>
      <x:c r="E73" s="16" t="n">
        <x:f>D73-C73</x:f>
        <x:v>414.59999999999854</x:v>
      </x:c>
      <x:c r="F73" s="17" t="n">
        <x:f>E73/C73</x:f>
        <x:v>0.012430665907114759</x:v>
      </x:c>
      <x:c r="G73" s="18" t="n">
        <x:v>5885</x:v>
      </x:c>
      <x:c r="H73" s="18" t="n">
        <x:v>5885</x:v>
      </x:c>
      <x:c r="I73" s="18" t="n">
        <x:f>H73-G73</x:f>
        <x:v>0</x:v>
      </x:c>
      <x:c r="J73" s="19" t="n">
        <x:f>10000*C73/G73</x:f>
        <x:v>56674.59643160578</x:v>
      </x:c>
      <x:c r="K73" s="19" t="n">
        <x:f>10000*D73/H73</x:f>
        <x:v>57379.09940526763</x:v>
      </x:c>
      <x:c r="L73" s="19" t="n">
        <x:f>K73-J73</x:f>
        <x:v>704.5029736618526</x:v>
      </x:c>
      <x:c r="M73" s="14" t="str">
        <x:v>S1–S4</x:v>
      </x:c>
    </x:row>
    <x:row r="74" ht="24" customHeight="1">
      <x:c r="A74" s="14" t="str">
        <x:v>湖北省</x:v>
      </x:c>
      <x:c r="B74" s="15" t="n">
        <x:v>2017</x:v>
      </x:c>
      <x:c r="C74" s="16" t="n">
        <x:v>37235</x:v>
      </x:c>
      <x:c r="D74" s="16" t="n">
        <x:v>37624.2</x:v>
      </x:c>
      <x:c r="E74" s="16" t="n">
        <x:f>D74-C74</x:f>
        <x:v>389.1999999999971</x:v>
      </x:c>
      <x:c r="F74" s="17" t="n">
        <x:f>E74/C74</x:f>
        <x:v>0.010452531220625677</x:v>
      </x:c>
      <x:c r="G74" s="18" t="n">
        <x:v>5904</x:v>
      </x:c>
      <x:c r="H74" s="18" t="n">
        <x:v>5904</x:v>
      </x:c>
      <x:c r="I74" s="18" t="n">
        <x:f>H74-G74</x:f>
        <x:v>0</x:v>
      </x:c>
      <x:c r="J74" s="19" t="n">
        <x:f>10000*C74/G74</x:f>
        <x:v>63067.41192411924</x:v>
      </x:c>
      <x:c r="K74" s="19" t="n">
        <x:f>10000*D74/H74</x:f>
        <x:v>63726.62601626016</x:v>
      </x:c>
      <x:c r="L74" s="19" t="n">
        <x:f>K74-J74</x:f>
        <x:v>659.2140921409227</x:v>
      </x:c>
      <x:c r="M74" s="14" t="str">
        <x:v>S1–S4</x:v>
      </x:c>
    </x:row>
    <x:row r="75" ht="24" customHeight="1">
      <x:c r="A75" s="14" t="str">
        <x:v>湖北省</x:v>
      </x:c>
      <x:c r="B75" s="15" t="n">
        <x:v>2018</x:v>
      </x:c>
      <x:c r="C75" s="16" t="n">
        <x:v>42022</x:v>
      </x:c>
      <x:c r="D75" s="16" t="n">
        <x:v>42425.5</x:v>
      </x:c>
      <x:c r="E75" s="16" t="n">
        <x:f>D75-C75</x:f>
        <x:v>403.5</x:v>
      </x:c>
      <x:c r="F75" s="17" t="n">
        <x:f>E75/C75</x:f>
        <x:v>0.009602113178811099</x:v>
      </x:c>
      <x:c r="G75" s="18" t="n">
        <x:v>5917</x:v>
      </x:c>
      <x:c r="H75" s="18" t="n">
        <x:v>5917</x:v>
      </x:c>
      <x:c r="I75" s="18" t="n">
        <x:f>H75-G75</x:f>
        <x:v>0</x:v>
      </x:c>
      <x:c r="J75" s="19" t="n">
        <x:f>10000*C75/G75</x:f>
        <x:v>71019.09751563292</x:v>
      </x:c>
      <x:c r="K75" s="19" t="n">
        <x:f>10000*D75/H75</x:f>
        <x:v>71701.03092783505</x:v>
      </x:c>
      <x:c r="L75" s="19" t="n">
        <x:f>K75-J75</x:f>
        <x:v>681.9334122021246</x:v>
      </x:c>
      <x:c r="M75" s="14" t="str">
        <x:v>S1–S4</x:v>
      </x:c>
    </x:row>
    <x:row r="76" ht="24" customHeight="1">
      <x:c r="A76" s="2" t="str">
        <x:v>湖南省</x:v>
      </x:c>
      <x:c r="B76" s="13" t="n">
        <x:v>2015</x:v>
      </x:c>
      <x:c r="C76" s="9" t="n">
        <x:v>28538.6</x:v>
      </x:c>
      <x:c r="D76" s="9" t="n">
        <x:v>28811.7</x:v>
      </x:c>
      <x:c r="E76" s="9" t="n">
        <x:f>D76-C76</x:f>
        <x:v>273.1000000000022</x:v>
      </x:c>
      <x:c r="F76" s="10" t="n">
        <x:f>E76/C76</x:f>
        <x:v>0.009569495350157407</x:v>
      </x:c>
      <x:c r="G76" s="11" t="n">
        <x:v>6615</x:v>
      </x:c>
      <x:c r="H76" s="11" t="n">
        <x:v>6615</x:v>
      </x:c>
      <x:c r="I76" s="11" t="n">
        <x:f>H76-G76</x:f>
        <x:v>0</x:v>
      </x:c>
      <x:c r="J76" s="12" t="n">
        <x:f>10000*C76/G76</x:f>
        <x:v>43142.25245653817</x:v>
      </x:c>
      <x:c r="K76" s="12" t="n">
        <x:f>10000*D76/H76</x:f>
        <x:v>43555.102040816324</x:v>
      </x:c>
      <x:c r="L76" s="12" t="n">
        <x:f>K76-J76</x:f>
        <x:v>412.8495842781558</x:v>
      </x:c>
      <x:c r="M76" s="2" t="str">
        <x:v>S1–S4</x:v>
      </x:c>
    </x:row>
    <x:row r="77" ht="24" customHeight="1">
      <x:c r="A77" s="2" t="str">
        <x:v>湖南省</x:v>
      </x:c>
      <x:c r="B77" s="13" t="n">
        <x:v>2016</x:v>
      </x:c>
      <x:c r="C77" s="9" t="n">
        <x:v>30853.5</x:v>
      </x:c>
      <x:c r="D77" s="9" t="n">
        <x:v>31225</x:v>
      </x:c>
      <x:c r="E77" s="9" t="n">
        <x:f>D77-C77</x:f>
        <x:v>371.5</x:v>
      </x:c>
      <x:c r="F77" s="10" t="n">
        <x:f>E77/C77</x:f>
        <x:v>0.012040773332036884</x:v>
      </x:c>
      <x:c r="G77" s="11" t="n">
        <x:v>6625</x:v>
      </x:c>
      <x:c r="H77" s="11" t="n">
        <x:v>6625</x:v>
      </x:c>
      <x:c r="I77" s="11" t="n">
        <x:f>H77-G77</x:f>
        <x:v>0</x:v>
      </x:c>
      <x:c r="J77" s="12" t="n">
        <x:f>10000*C77/G77</x:f>
        <x:v>46571.32075471698</x:v>
      </x:c>
      <x:c r="K77" s="12" t="n">
        <x:f>10000*D77/H77</x:f>
        <x:v>47132.07547169811</x:v>
      </x:c>
      <x:c r="L77" s="12" t="n">
        <x:f>K77-J77</x:f>
        <x:v>560.7547169811296</x:v>
      </x:c>
      <x:c r="M77" s="2" t="str">
        <x:v>S1–S4</x:v>
      </x:c>
    </x:row>
    <x:row r="78" ht="24" customHeight="1">
      <x:c r="A78" s="2" t="str">
        <x:v>湖南省</x:v>
      </x:c>
      <x:c r="B78" s="13" t="n">
        <x:v>2017</x:v>
      </x:c>
      <x:c r="C78" s="9" t="n">
        <x:v>33828.1</x:v>
      </x:c>
      <x:c r="D78" s="9" t="n">
        <x:v>34127.7</x:v>
      </x:c>
      <x:c r="E78" s="9" t="n">
        <x:f>D78-C78</x:f>
        <x:v>299.59999999999854</x:v>
      </x:c>
      <x:c r="F78" s="10" t="n">
        <x:f>E78/C78</x:f>
        <x:v>0.008856542342017392</x:v>
      </x:c>
      <x:c r="G78" s="11" t="n">
        <x:v>6633</x:v>
      </x:c>
      <x:c r="H78" s="11" t="n">
        <x:v>6633</x:v>
      </x:c>
      <x:c r="I78" s="11" t="n">
        <x:f>H78-G78</x:f>
        <x:v>0</x:v>
      </x:c>
      <x:c r="J78" s="12" t="n">
        <x:f>10000*C78/G78</x:f>
        <x:v>50999.69847731042</x:v>
      </x:c>
      <x:c r="K78" s="12" t="n">
        <x:f>10000*D78/H78</x:f>
        <x:v>51451.37946630484</x:v>
      </x:c>
      <x:c r="L78" s="12" t="n">
        <x:f>K78-J78</x:f>
        <x:v>451.68098899441975</x:v>
      </x:c>
      <x:c r="M78" s="2" t="str">
        <x:v>S1–S4</x:v>
      </x:c>
    </x:row>
    <x:row r="79" ht="24" customHeight="1">
      <x:c r="A79" s="2" t="str">
        <x:v>湖南省</x:v>
      </x:c>
      <x:c r="B79" s="13" t="n">
        <x:v>2018</x:v>
      </x:c>
      <x:c r="C79" s="9" t="n">
        <x:v>36329.7</x:v>
      </x:c>
      <x:c r="D79" s="9" t="n">
        <x:v>36629.3</x:v>
      </x:c>
      <x:c r="E79" s="9" t="n">
        <x:f>D79-C79</x:f>
        <x:v>299.6000000000058</x:v>
      </x:c>
      <x:c r="F79" s="10" t="n">
        <x:f>E79/C79</x:f>
        <x:v>0.008246696229256114</x:v>
      </x:c>
      <x:c r="G79" s="11" t="n">
        <x:v>6635</x:v>
      </x:c>
      <x:c r="H79" s="11" t="n">
        <x:v>6635</x:v>
      </x:c>
      <x:c r="I79" s="11" t="n">
        <x:f>H79-G79</x:f>
        <x:v>0</x:v>
      </x:c>
      <x:c r="J79" s="12" t="n">
        <x:f>10000*C79/G79</x:f>
        <x:v>54754.63451394122</x:v>
      </x:c>
      <x:c r="K79" s="12" t="n">
        <x:f>10000*D79/H79</x:f>
        <x:v>55206.17935192163</x:v>
      </x:c>
      <x:c r="L79" s="12" t="n">
        <x:f>K79-J79</x:f>
        <x:v>451.54483798040746</x:v>
      </x:c>
      <x:c r="M79" s="2" t="str">
        <x:v>S1–S4</x:v>
      </x:c>
    </x:row>
    <x:row r="80" ht="24" customHeight="1">
      <x:c r="A80" s="14" t="str">
        <x:v>广东省</x:v>
      </x:c>
      <x:c r="B80" s="15" t="n">
        <x:v>2015</x:v>
      </x:c>
      <x:c r="C80" s="16" t="n">
        <x:v>74732.4</x:v>
      </x:c>
      <x:c r="D80" s="16" t="n">
        <x:v>75820.8</x:v>
      </x:c>
      <x:c r="E80" s="16" t="n">
        <x:f>D80-C80</x:f>
        <x:v>1088.4000000000087</x:v>
      </x:c>
      <x:c r="F80" s="17" t="n">
        <x:f>E80/C80</x:f>
        <x:v>0.014563964224352608</x:v>
      </x:c>
      <x:c r="G80" s="18" t="n">
        <x:v>11678</x:v>
      </x:c>
      <x:c r="H80" s="18" t="n">
        <x:v>11678</x:v>
      </x:c>
      <x:c r="I80" s="18" t="n">
        <x:f>H80-G80</x:f>
        <x:v>0</x:v>
      </x:c>
      <x:c r="J80" s="19" t="n">
        <x:f>10000*C80/G80</x:f>
        <x:v>63994.17708511731</x:v>
      </x:c>
      <x:c r="K80" s="19" t="n">
        <x:f>10000*D80/H80</x:f>
        <x:v>64926.185990751845</x:v>
      </x:c>
      <x:c r="L80" s="19" t="n">
        <x:f>K80-J80</x:f>
        <x:v>932.0089056345314</x:v>
      </x:c>
      <x:c r="M80" s="14" t="str">
        <x:v>S1–S4</x:v>
      </x:c>
    </x:row>
    <x:row r="81" ht="24" customHeight="1">
      <x:c r="A81" s="14" t="str">
        <x:v>广东省</x:v>
      </x:c>
      <x:c r="B81" s="15" t="n">
        <x:v>2016</x:v>
      </x:c>
      <x:c r="C81" s="16" t="n">
        <x:v>82163.2</x:v>
      </x:c>
      <x:c r="D81" s="16" t="n">
        <x:v>83493.4</x:v>
      </x:c>
      <x:c r="E81" s="16" t="n">
        <x:f>D81-C81</x:f>
        <x:v>1330.199999999997</x:v>
      </x:c>
      <x:c r="F81" s="17" t="n">
        <x:f>E81/C81</x:f>
        <x:v>0.01618972970867733</x:v>
      </x:c>
      <x:c r="G81" s="18" t="n">
        <x:v>11908</x:v>
      </x:c>
      <x:c r="H81" s="18" t="n">
        <x:v>11908</x:v>
      </x:c>
      <x:c r="I81" s="18" t="n">
        <x:f>H81-G81</x:f>
        <x:v>0</x:v>
      </x:c>
      <x:c r="J81" s="19" t="n">
        <x:f>10000*C81/G81</x:f>
        <x:v>68998.32045683575</x:v>
      </x:c>
      <x:c r="K81" s="19" t="n">
        <x:f>10000*D81/H81</x:f>
        <x:v>70115.38461538461</x:v>
      </x:c>
      <x:c r="L81" s="19" t="n">
        <x:f>K81-J81</x:f>
        <x:v>1117.064158548863</x:v>
      </x:c>
      <x:c r="M81" s="14" t="str">
        <x:v>S1–S4</x:v>
      </x:c>
    </x:row>
    <x:row r="82" ht="24" customHeight="1">
      <x:c r="A82" s="14" t="str">
        <x:v>广东省</x:v>
      </x:c>
      <x:c r="B82" s="15" t="n">
        <x:v>2017</x:v>
      </x:c>
      <x:c r="C82" s="16" t="n">
        <x:v>91648.7</x:v>
      </x:c>
      <x:c r="D82" s="16" t="n">
        <x:v>93004.8</x:v>
      </x:c>
      <x:c r="E82" s="16" t="n">
        <x:f>D82-C82</x:f>
        <x:v>1356.1000000000058</x:v>
      </x:c>
      <x:c r="F82" s="17" t="n">
        <x:f>E82/C82</x:f>
        <x:v>0.014796718338612614</x:v>
      </x:c>
      <x:c r="G82" s="18" t="n">
        <x:v>12141</x:v>
      </x:c>
      <x:c r="H82" s="18" t="n">
        <x:v>12141</x:v>
      </x:c>
      <x:c r="I82" s="18" t="n">
        <x:f>H82-G82</x:f>
        <x:v>0</x:v>
      </x:c>
      <x:c r="J82" s="19" t="n">
        <x:f>10000*C82/G82</x:f>
        <x:v>75486.94506218599</x:v>
      </x:c>
      <x:c r="K82" s="19" t="n">
        <x:f>10000*D82/H82</x:f>
        <x:v>76603.90412651347</x:v>
      </x:c>
      <x:c r="L82" s="19" t="n">
        <x:f>K82-J82</x:f>
        <x:v>1116.959064327486</x:v>
      </x:c>
      <x:c r="M82" s="14" t="str">
        <x:v>S1–S4</x:v>
      </x:c>
    </x:row>
    <x:row r="83" ht="24" customHeight="1">
      <x:c r="A83" s="14" t="str">
        <x:v>广东省</x:v>
      </x:c>
      <x:c r="B83" s="15" t="n">
        <x:v>2018</x:v>
      </x:c>
      <x:c r="C83" s="16" t="n">
        <x:v>99945.2</x:v>
      </x:c>
      <x:c r="D83" s="16" t="n">
        <x:v>101875.9</x:v>
      </x:c>
      <x:c r="E83" s="16" t="n">
        <x:f>D83-C83</x:f>
        <x:v>1930.699999999997</x:v>
      </x:c>
      <x:c r="F83" s="17" t="n">
        <x:f>E83/C83</x:f>
        <x:v>0.019317586037148327</x:v>
      </x:c>
      <x:c r="G83" s="18" t="n">
        <x:v>12348</x:v>
      </x:c>
      <x:c r="H83" s="18" t="n">
        <x:v>12348</x:v>
      </x:c>
      <x:c r="I83" s="18" t="n">
        <x:f>H83-G83</x:f>
        <x:v>0</x:v>
      </x:c>
      <x:c r="J83" s="19" t="n">
        <x:f>10000*C83/G83</x:f>
        <x:v>80940.39520570132</x:v>
      </x:c>
      <x:c r="K83" s="19" t="n">
        <x:f>10000*D83/H83</x:f>
        <x:v>82503.96825396825</x:v>
      </x:c>
      <x:c r="L83" s="19" t="n">
        <x:f>K83-J83</x:f>
        <x:v>1563.5730482669314</x:v>
      </x:c>
      <x:c r="M83" s="14" t="str">
        <x:v>S1–S4</x:v>
      </x:c>
    </x:row>
    <x:row r="84" ht="24" customHeight="1">
      <x:c r="A84" s="2" t="str">
        <x:v>广西壮族自治区</x:v>
      </x:c>
      <x:c r="B84" s="13" t="n">
        <x:v>2015</x:v>
      </x:c>
      <x:c r="C84" s="9" t="n">
        <x:v>14797.8</x:v>
      </x:c>
      <x:c r="D84" s="9" t="n">
        <x:v>15030.2</x:v>
      </x:c>
      <x:c r="E84" s="9" t="n">
        <x:f>D84-C84</x:f>
        <x:v>232.40000000000146</x:v>
      </x:c>
      <x:c r="F84" s="10" t="n">
        <x:f>E84/C84</x:f>
        <x:v>0.015705037235264802</x:v>
      </x:c>
      <x:c r="G84" s="11" t="n">
        <x:v>4811</x:v>
      </x:c>
      <x:c r="H84" s="11" t="n">
        <x:v>4811</x:v>
      </x:c>
      <x:c r="I84" s="11" t="n">
        <x:f>H84-G84</x:f>
        <x:v>0</x:v>
      </x:c>
      <x:c r="J84" s="12" t="n">
        <x:f>10000*C84/G84</x:f>
        <x:v>30758.262315526918</x:v>
      </x:c>
      <x:c r="K84" s="12" t="n">
        <x:f>10000*D84/H84</x:f>
        <x:v>31241.321970484307</x:v>
      </x:c>
      <x:c r="L84" s="12" t="n">
        <x:f>K84-J84</x:f>
        <x:v>483.0596549573893</x:v>
      </x:c>
      <x:c r="M84" s="2" t="str">
        <x:v>S1–S4</x:v>
      </x:c>
    </x:row>
    <x:row r="85" ht="24" customHeight="1">
      <x:c r="A85" s="2" t="str">
        <x:v>广西壮族自治区</x:v>
      </x:c>
      <x:c r="B85" s="13" t="n">
        <x:v>2016</x:v>
      </x:c>
      <x:c r="C85" s="9" t="n">
        <x:v>16116.6</x:v>
      </x:c>
      <x:c r="D85" s="9" t="n">
        <x:v>16417.2</x:v>
      </x:c>
      <x:c r="E85" s="9" t="n">
        <x:f>D85-C85</x:f>
        <x:v>300.60000000000036</x:v>
      </x:c>
      <x:c r="F85" s="10" t="n">
        <x:f>E85/C85</x:f>
        <x:v>0.01865157663527049</x:v>
      </x:c>
      <x:c r="G85" s="11" t="n">
        <x:v>4857</x:v>
      </x:c>
      <x:c r="H85" s="11" t="n">
        <x:v>4857</x:v>
      </x:c>
      <x:c r="I85" s="11" t="n">
        <x:f>H85-G85</x:f>
        <x:v>0</x:v>
      </x:c>
      <x:c r="J85" s="12" t="n">
        <x:f>10000*C85/G85</x:f>
        <x:v>33182.2112415071</x:v>
      </x:c>
      <x:c r="K85" s="12" t="n">
        <x:f>10000*D85/H85</x:f>
        <x:v>33801.11179740581</x:v>
      </x:c>
      <x:c r="L85" s="12" t="n">
        <x:f>K85-J85</x:f>
        <x:v>618.9005558987046</x:v>
      </x:c>
      <x:c r="M85" s="2" t="str">
        <x:v>S1–S4</x:v>
      </x:c>
    </x:row>
    <x:row r="86" ht="24" customHeight="1">
      <x:c r="A86" s="2" t="str">
        <x:v>广西壮族自治区</x:v>
      </x:c>
      <x:c r="B86" s="13" t="n">
        <x:v>2017</x:v>
      </x:c>
      <x:c r="C86" s="9" t="n">
        <x:v>17790.7</x:v>
      </x:c>
      <x:c r="D86" s="9" t="n">
        <x:v>18071.7</x:v>
      </x:c>
      <x:c r="E86" s="9" t="n">
        <x:f>D86-C86</x:f>
        <x:v>281</x:v>
      </x:c>
      <x:c r="F86" s="10" t="n">
        <x:f>E86/C86</x:f>
        <x:v>0.015794769177154354</x:v>
      </x:c>
      <x:c r="G86" s="11" t="n">
        <x:v>4907</x:v>
      </x:c>
      <x:c r="H86" s="11" t="n">
        <x:v>4907</x:v>
      </x:c>
      <x:c r="I86" s="11" t="n">
        <x:f>H86-G86</x:f>
        <x:v>0</x:v>
      </x:c>
      <x:c r="J86" s="12" t="n">
        <x:f>10000*C86/G86</x:f>
        <x:v>36255.75708171999</x:v>
      </x:c>
      <x:c r="K86" s="12" t="n">
        <x:f>10000*D86/H86</x:f>
        <x:v>36828.408396168736</x:v>
      </x:c>
      <x:c r="L86" s="12" t="n">
        <x:f>K86-J86</x:f>
        <x:v>572.6513144487471</x:v>
      </x:c>
      <x:c r="M86" s="2" t="str">
        <x:v>S1–S4</x:v>
      </x:c>
    </x:row>
    <x:row r="87" ht="24" customHeight="1">
      <x:c r="A87" s="2" t="str">
        <x:v>广西壮族自治区</x:v>
      </x:c>
      <x:c r="B87" s="13" t="n">
        <x:v>2018</x:v>
      </x:c>
      <x:c r="C87" s="9" t="n">
        <x:v>19627.8</x:v>
      </x:c>
      <x:c r="D87" s="9" t="n">
        <x:v>19951.7</x:v>
      </x:c>
      <x:c r="E87" s="9" t="n">
        <x:f>D87-C87</x:f>
        <x:v>323.90000000000146</x:v>
      </x:c>
      <x:c r="F87" s="10" t="n">
        <x:f>E87/C87</x:f>
        <x:v>0.016502104158387668</x:v>
      </x:c>
      <x:c r="G87" s="11" t="n">
        <x:v>4947</x:v>
      </x:c>
      <x:c r="H87" s="11" t="n">
        <x:v>4947</x:v>
      </x:c>
      <x:c r="I87" s="11" t="n">
        <x:f>H87-G87</x:f>
        <x:v>0</x:v>
      </x:c>
      <x:c r="J87" s="12" t="n">
        <x:f>10000*C87/G87</x:f>
        <x:v>39676.16737416616</x:v>
      </x:c>
      <x:c r="K87" s="12" t="n">
        <x:f>10000*D87/H87</x:f>
        <x:v>40330.90762078027</x:v>
      </x:c>
      <x:c r="L87" s="12" t="n">
        <x:f>K87-J87</x:f>
        <x:v>654.7402466141139</x:v>
      </x:c>
      <x:c r="M87" s="2" t="str">
        <x:v>S1–S4</x:v>
      </x:c>
    </x:row>
    <x:row r="88" ht="24" customHeight="1">
      <x:c r="A88" s="14" t="str">
        <x:v>海南省</x:v>
      </x:c>
      <x:c r="B88" s="15" t="n">
        <x:v>2015</x:v>
      </x:c>
      <x:c r="C88" s="16" t="n">
        <x:v>3734.2</x:v>
      </x:c>
      <x:c r="D88" s="16" t="n">
        <x:v>3782.7</x:v>
      </x:c>
      <x:c r="E88" s="16" t="n">
        <x:f>D88-C88</x:f>
        <x:v>48.5</x:v>
      </x:c>
      <x:c r="F88" s="17" t="n">
        <x:f>E88/C88</x:f>
        <x:v>0.012988056344062986</x:v>
      </x:c>
      <x:c r="G88" s="18" t="n">
        <x:v>945</x:v>
      </x:c>
      <x:c r="H88" s="18" t="n">
        <x:v>945</x:v>
      </x:c>
      <x:c r="I88" s="18" t="n">
        <x:f>H88-G88</x:f>
        <x:v>0</x:v>
      </x:c>
      <x:c r="J88" s="19" t="n">
        <x:f>10000*C88/G88</x:f>
        <x:v>39515.34391534392</x:v>
      </x:c>
      <x:c r="K88" s="19" t="n">
        <x:f>10000*D88/H88</x:f>
        <x:v>40028.57142857143</x:v>
      </x:c>
      <x:c r="L88" s="19" t="n">
        <x:f>K88-J88</x:f>
        <x:v>513.2275132275099</x:v>
      </x:c>
      <x:c r="M88" s="14" t="str">
        <x:v>S1–S4</x:v>
      </x:c>
    </x:row>
    <x:row r="89" ht="24" customHeight="1">
      <x:c r="A89" s="14" t="str">
        <x:v>海南省</x:v>
      </x:c>
      <x:c r="B89" s="15" t="n">
        <x:v>2016</x:v>
      </x:c>
      <x:c r="C89" s="16" t="n">
        <x:v>4090.2</x:v>
      </x:c>
      <x:c r="D89" s="16" t="n">
        <x:v>4151</x:v>
      </x:c>
      <x:c r="E89" s="16" t="n">
        <x:f>D89-C89</x:f>
        <x:v>60.80000000000018</x:v>
      </x:c>
      <x:c r="F89" s="17" t="n">
        <x:f>E89/C89</x:f>
        <x:v>0.014864798787345408</x:v>
      </x:c>
      <x:c r="G89" s="18" t="n">
        <x:v>957</x:v>
      </x:c>
      <x:c r="H89" s="18" t="n">
        <x:v>957</x:v>
      </x:c>
      <x:c r="I89" s="18" t="n">
        <x:f>H89-G89</x:f>
        <x:v>0</x:v>
      </x:c>
      <x:c r="J89" s="19" t="n">
        <x:f>10000*C89/G89</x:f>
        <x:v>42739.811912225705</x:v>
      </x:c>
      <x:c r="K89" s="19" t="n">
        <x:f>10000*D89/H89</x:f>
        <x:v>43375.13061650993</x:v>
      </x:c>
      <x:c r="L89" s="19" t="n">
        <x:f>K89-J89</x:f>
        <x:v>635.3187042842255</x:v>
      </x:c>
      <x:c r="M89" s="14" t="str">
        <x:v>S1–S4</x:v>
      </x:c>
    </x:row>
    <x:row r="90" ht="24" customHeight="1">
      <x:c r="A90" s="14" t="str">
        <x:v>海南省</x:v>
      </x:c>
      <x:c r="B90" s="15" t="n">
        <x:v>2017</x:v>
      </x:c>
      <x:c r="C90" s="16" t="n">
        <x:v>4497.5</x:v>
      </x:c>
      <x:c r="D90" s="16" t="n">
        <x:v>4552.9</x:v>
      </x:c>
      <x:c r="E90" s="16" t="n">
        <x:f>D90-C90</x:f>
        <x:v>55.399999999999636</x:v>
      </x:c>
      <x:c r="F90" s="17" t="n">
        <x:f>E90/C90</x:f>
        <x:v>0.012317954419121653</x:v>
      </x:c>
      <x:c r="G90" s="18" t="n">
        <x:v>972</x:v>
      </x:c>
      <x:c r="H90" s="18" t="n">
        <x:v>972</x:v>
      </x:c>
      <x:c r="I90" s="18" t="n">
        <x:f>H90-G90</x:f>
        <x:v>0</x:v>
      </x:c>
      <x:c r="J90" s="19" t="n">
        <x:f>10000*C90/G90</x:f>
        <x:v>46270.576131687245</x:v>
      </x:c>
      <x:c r="K90" s="19" t="n">
        <x:f>10000*D90/H90</x:f>
        <x:v>46840.53497942387</x:v>
      </x:c>
      <x:c r="L90" s="19" t="n">
        <x:f>K90-J90</x:f>
        <x:v>569.9588477366269</x:v>
      </x:c>
      <x:c r="M90" s="14" t="str">
        <x:v>S1–S4</x:v>
      </x:c>
    </x:row>
    <x:row r="91" ht="24" customHeight="1">
      <x:c r="A91" s="14" t="str">
        <x:v>海南省</x:v>
      </x:c>
      <x:c r="B91" s="15" t="n">
        <x:v>2018</x:v>
      </x:c>
      <x:c r="C91" s="16" t="n">
        <x:v>4910.7</x:v>
      </x:c>
      <x:c r="D91" s="16" t="n">
        <x:v>5004.2</x:v>
      </x:c>
      <x:c r="E91" s="16" t="n">
        <x:f>D91-C91</x:f>
        <x:v>93.5</x:v>
      </x:c>
      <x:c r="F91" s="17" t="n">
        <x:f>E91/C91</x:f>
        <x:v>0.01904005538925204</x:v>
      </x:c>
      <x:c r="G91" s="18" t="n">
        <x:v>982</x:v>
      </x:c>
      <x:c r="H91" s="18" t="n">
        <x:v>982</x:v>
      </x:c>
      <x:c r="I91" s="18" t="n">
        <x:f>H91-G91</x:f>
        <x:v>0</x:v>
      </x:c>
      <x:c r="J91" s="19" t="n">
        <x:f>10000*C91/G91</x:f>
        <x:v>50007.128309572305</x:v>
      </x:c>
      <x:c r="K91" s="19" t="n">
        <x:f>10000*D91/H91</x:f>
        <x:v>50959.26680244399</x:v>
      </x:c>
      <x:c r="L91" s="19" t="n">
        <x:f>K91-J91</x:f>
        <x:v>952.138492871687</x:v>
      </x:c>
      <x:c r="M91" s="14" t="str">
        <x:v>S1–S4</x:v>
      </x:c>
    </x:row>
    <x:row r="92" ht="24" customHeight="1">
      <x:c r="A92" s="2" t="str">
        <x:v>重庆市</x:v>
      </x:c>
      <x:c r="B92" s="13" t="n">
        <x:v>2015</x:v>
      </x:c>
      <x:c r="C92" s="9" t="n">
        <x:v>16040.5</x:v>
      </x:c>
      <x:c r="D92" s="9" t="n">
        <x:v>16305.9</x:v>
      </x:c>
      <x:c r="E92" s="9" t="n">
        <x:f>D92-C92</x:f>
        <x:v>265.39999999999964</x:v>
      </x:c>
      <x:c r="F92" s="10" t="n">
        <x:f>E92/C92</x:f>
        <x:v>0.0165456189021539</x:v>
      </x:c>
      <x:c r="G92" s="11" t="n">
        <x:v>3070</x:v>
      </x:c>
      <x:c r="H92" s="11" t="n">
        <x:v>3070</x:v>
      </x:c>
      <x:c r="I92" s="11" t="n">
        <x:f>H92-G92</x:f>
        <x:v>0</x:v>
      </x:c>
      <x:c r="J92" s="12" t="n">
        <x:f>10000*C92/G92</x:f>
        <x:v>52249.18566775244</x:v>
      </x:c>
      <x:c r="K92" s="12" t="n">
        <x:f>10000*D92/H92</x:f>
        <x:v>53113.68078175896</x:v>
      </x:c>
      <x:c r="L92" s="12" t="n">
        <x:f>K92-J92</x:f>
        <x:v>864.4951140065168</x:v>
      </x:c>
      <x:c r="M92" s="2" t="str">
        <x:v>S1–S4</x:v>
      </x:c>
    </x:row>
    <x:row r="93" ht="24" customHeight="1">
      <x:c r="A93" s="2" t="str">
        <x:v>重庆市</x:v>
      </x:c>
      <x:c r="B93" s="13" t="n">
        <x:v>2016</x:v>
      </x:c>
      <x:c r="C93" s="9" t="n">
        <x:v>18023</x:v>
      </x:c>
      <x:c r="D93" s="9" t="n">
        <x:v>18271.1</x:v>
      </x:c>
      <x:c r="E93" s="9" t="n">
        <x:f>D93-C93</x:f>
        <x:v>248.09999999999854</x:v>
      </x:c>
      <x:c r="F93" s="10" t="n">
        <x:f>E93/C93</x:f>
        <x:v>0.013765743771847003</x:v>
      </x:c>
      <x:c r="G93" s="11" t="n">
        <x:v>3110</x:v>
      </x:c>
      <x:c r="H93" s="11" t="n">
        <x:v>3110</x:v>
      </x:c>
      <x:c r="I93" s="11" t="n">
        <x:f>H93-G93</x:f>
        <x:v>0</x:v>
      </x:c>
      <x:c r="J93" s="12" t="n">
        <x:f>10000*C93/G93</x:f>
        <x:v>57951.76848874598</x:v>
      </x:c>
      <x:c r="K93" s="12" t="n">
        <x:f>10000*D93/H93</x:f>
        <x:v>58749.51768488746</x:v>
      </x:c>
      <x:c r="L93" s="12" t="n">
        <x:f>K93-J93</x:f>
        <x:v>797.749196141478</x:v>
      </x:c>
      <x:c r="M93" s="2" t="str">
        <x:v>S1–S4</x:v>
      </x:c>
    </x:row>
    <x:row r="94" ht="24" customHeight="1">
      <x:c r="A94" s="2" t="str">
        <x:v>重庆市</x:v>
      </x:c>
      <x:c r="B94" s="13" t="n">
        <x:v>2017</x:v>
      </x:c>
      <x:c r="C94" s="9" t="n">
        <x:v>20066.3</x:v>
      </x:c>
      <x:c r="D94" s="9" t="n">
        <x:v>20260.8</x:v>
      </x:c>
      <x:c r="E94" s="9" t="n">
        <x:f>D94-C94</x:f>
        <x:v>194.5</x:v>
      </x:c>
      <x:c r="F94" s="10" t="n">
        <x:f>E94/C94</x:f>
        <x:v>0.00969286814210891</x:v>
      </x:c>
      <x:c r="G94" s="11" t="n">
        <x:v>3144</x:v>
      </x:c>
      <x:c r="H94" s="11" t="n">
        <x:v>3144</x:v>
      </x:c>
      <x:c r="I94" s="11" t="n">
        <x:f>H94-G94</x:f>
        <x:v>0</x:v>
      </x:c>
      <x:c r="J94" s="12" t="n">
        <x:f>10000*C94/G94</x:f>
        <x:v>63824.10941475827</x:v>
      </x:c>
      <x:c r="K94" s="12" t="n">
        <x:f>10000*D94/H94</x:f>
        <x:v>64442.748091603054</x:v>
      </x:c>
      <x:c r="L94" s="12" t="n">
        <x:f>K94-J94</x:f>
        <x:v>618.6386768447846</x:v>
      </x:c>
      <x:c r="M94" s="2" t="str">
        <x:v>S1–S4</x:v>
      </x:c>
    </x:row>
    <x:row r="95" ht="24" customHeight="1">
      <x:c r="A95" s="2" t="str">
        <x:v>重庆市</x:v>
      </x:c>
      <x:c r="B95" s="13" t="n">
        <x:v>2018</x:v>
      </x:c>
      <x:c r="C95" s="9" t="n">
        <x:v>21588.8</x:v>
      </x:c>
      <x:c r="D95" s="9" t="n">
        <x:v>21866.8</x:v>
      </x:c>
      <x:c r="E95" s="9" t="n">
        <x:f>D95-C95</x:f>
        <x:v>278</x:v>
      </x:c>
      <x:c r="F95" s="10" t="n">
        <x:f>E95/C95</x:f>
        <x:v>0.012877047357889276</x:v>
      </x:c>
      <x:c r="G95" s="11" t="n">
        <x:v>3163</x:v>
      </x:c>
      <x:c r="H95" s="11" t="n">
        <x:v>3163</x:v>
      </x:c>
      <x:c r="I95" s="11" t="n">
        <x:f>H95-G95</x:f>
        <x:v>0</x:v>
      </x:c>
      <x:c r="J95" s="12" t="n">
        <x:f>10000*C95/G95</x:f>
        <x:v>68254.18906101803</x:v>
      </x:c>
      <x:c r="K95" s="12" t="n">
        <x:f>10000*D95/H95</x:f>
        <x:v>69133.10148593108</x:v>
      </x:c>
      <x:c r="L95" s="12" t="n">
        <x:f>K95-J95</x:f>
        <x:v>878.9124249130546</x:v>
      </x:c>
      <x:c r="M95" s="2" t="str">
        <x:v>S1–S4</x:v>
      </x:c>
    </x:row>
    <x:row r="96" ht="24" customHeight="1">
      <x:c r="A96" s="14" t="str">
        <x:v>四川省</x:v>
      </x:c>
      <x:c r="B96" s="15" t="n">
        <x:v>2015</x:v>
      </x:c>
      <x:c r="C96" s="16" t="n">
        <x:v>30342</x:v>
      </x:c>
      <x:c r="D96" s="16" t="n">
        <x:v>30829.1</x:v>
      </x:c>
      <x:c r="E96" s="16" t="n">
        <x:f>D96-C96</x:f>
        <x:v>487.09999999999854</x:v>
      </x:c>
      <x:c r="F96" s="17" t="n">
        <x:f>E96/C96</x:f>
        <x:v>0.016053654999670375</x:v>
      </x:c>
      <x:c r="G96" s="18" t="n">
        <x:v>8196</x:v>
      </x:c>
      <x:c r="H96" s="18" t="n">
        <x:v>8196</x:v>
      </x:c>
      <x:c r="I96" s="18" t="n">
        <x:f>H96-G96</x:f>
        <x:v>0</x:v>
      </x:c>
      <x:c r="J96" s="19" t="n">
        <x:f>10000*C96/G96</x:f>
        <x:v>37020.497803806735</x:v>
      </x:c>
      <x:c r="K96" s="19" t="n">
        <x:f>10000*D96/H96</x:f>
        <x:v>37614.812103465105</x:v>
      </x:c>
      <x:c r="L96" s="19" t="n">
        <x:f>K96-J96</x:f>
        <x:v>594.3142996583701</x:v>
      </x:c>
      <x:c r="M96" s="14" t="str">
        <x:v>S1–S4</x:v>
      </x:c>
    </x:row>
    <x:row r="97" ht="24" customHeight="1">
      <x:c r="A97" s="14" t="str">
        <x:v>四川省</x:v>
      </x:c>
      <x:c r="B97" s="15" t="n">
        <x:v>2016</x:v>
      </x:c>
      <x:c r="C97" s="16" t="n">
        <x:v>33138.5</x:v>
      </x:c>
      <x:c r="D97" s="16" t="n">
        <x:v>33879.2</x:v>
      </x:c>
      <x:c r="E97" s="16" t="n">
        <x:f>D97-C97</x:f>
        <x:v>740.6999999999971</x:v>
      </x:c>
      <x:c r="F97" s="17" t="n">
        <x:f>E97/C97</x:f>
        <x:v>0.022351645367171026</x:v>
      </x:c>
      <x:c r="G97" s="18" t="n">
        <x:v>8251</x:v>
      </x:c>
      <x:c r="H97" s="18" t="n">
        <x:v>8251</x:v>
      </x:c>
      <x:c r="I97" s="18" t="n">
        <x:f>H97-G97</x:f>
        <x:v>0</x:v>
      </x:c>
      <x:c r="J97" s="19" t="n">
        <x:f>10000*C97/G97</x:f>
        <x:v>40163.01054417646</x:v>
      </x:c>
      <x:c r="K97" s="19" t="n">
        <x:f>10000*D97/H97</x:f>
        <x:v>41060.71991273785</x:v>
      </x:c>
      <x:c r="L97" s="19" t="n">
        <x:f>K97-J97</x:f>
        <x:v>897.7093685613872</x:v>
      </x:c>
      <x:c r="M97" s="14" t="str">
        <x:v>S1–S4</x:v>
      </x:c>
    </x:row>
    <x:row r="98" ht="24" customHeight="1">
      <x:c r="A98" s="14" t="str">
        <x:v>四川省</x:v>
      </x:c>
      <x:c r="B98" s="15" t="n">
        <x:v>2017</x:v>
      </x:c>
      <x:c r="C98" s="16" t="n">
        <x:v>37905.1</x:v>
      </x:c>
      <x:c r="D98" s="16" t="n">
        <x:v>38517.1</x:v>
      </x:c>
      <x:c r="E98" s="16" t="n">
        <x:f>D98-C98</x:f>
        <x:v>612</x:v>
      </x:c>
      <x:c r="F98" s="17" t="n">
        <x:f>E98/C98</x:f>
        <x:v>0.01614558463109186</x:v>
      </x:c>
      <x:c r="G98" s="18" t="n">
        <x:v>8289</x:v>
      </x:c>
      <x:c r="H98" s="18" t="n">
        <x:v>8289</x:v>
      </x:c>
      <x:c r="I98" s="18" t="n">
        <x:f>H98-G98</x:f>
        <x:v>0</x:v>
      </x:c>
      <x:c r="J98" s="19" t="n">
        <x:f>10000*C98/G98</x:f>
        <x:v>45729.40041018217</x:v>
      </x:c>
      <x:c r="K98" s="19" t="n">
        <x:f>10000*D98/H98</x:f>
        <x:v>46467.72831463385</x:v>
      </x:c>
      <x:c r="L98" s="19" t="n">
        <x:f>K98-J98</x:f>
        <x:v>738.3279044516821</x:v>
      </x:c>
      <x:c r="M98" s="14" t="str">
        <x:v>S1–S4</x:v>
      </x:c>
    </x:row>
    <x:row r="99" ht="24" customHeight="1">
      <x:c r="A99" s="14" t="str">
        <x:v>四川省</x:v>
      </x:c>
      <x:c r="B99" s="15" t="n">
        <x:v>2018</x:v>
      </x:c>
      <x:c r="C99" s="16" t="n">
        <x:v>42902.1</x:v>
      </x:c>
      <x:c r="D99" s="16" t="n">
        <x:v>43539</x:v>
      </x:c>
      <x:c r="E99" s="16" t="n">
        <x:f>D99-C99</x:f>
        <x:v>636.9000000000015</x:v>
      </x:c>
      <x:c r="F99" s="17" t="n">
        <x:f>E99/C99</x:f>
        <x:v>0.014845427146922913</x:v>
      </x:c>
      <x:c r="G99" s="18" t="n">
        <x:v>8321</x:v>
      </x:c>
      <x:c r="H99" s="18" t="n">
        <x:v>8321</x:v>
      </x:c>
      <x:c r="I99" s="18" t="n">
        <x:f>H99-G99</x:f>
        <x:v>0</x:v>
      </x:c>
      <x:c r="J99" s="19" t="n">
        <x:f>10000*C99/G99</x:f>
        <x:v>51558.8270640548</x:v>
      </x:c>
      <x:c r="K99" s="19" t="n">
        <x:f>10000*D99/H99</x:f>
        <x:v>52324.239875015024</x:v>
      </x:c>
      <x:c r="L99" s="19" t="n">
        <x:f>K99-J99</x:f>
        <x:v>765.4128109602243</x:v>
      </x:c>
      <x:c r="M99" s="14" t="str">
        <x:v>S1–S4</x:v>
      </x:c>
    </x:row>
    <x:row r="100" ht="24" customHeight="1">
      <x:c r="A100" s="2" t="str">
        <x:v>贵州省</x:v>
      </x:c>
      <x:c r="B100" s="13" t="n">
        <x:v>2015</x:v>
      </x:c>
      <x:c r="C100" s="9" t="n">
        <x:v>10541</x:v>
      </x:c>
      <x:c r="D100" s="9" t="n">
        <x:v>10887.1</x:v>
      </x:c>
      <x:c r="E100" s="9" t="n">
        <x:f>D100-C100</x:f>
        <x:v>346.10000000000036</x:v>
      </x:c>
      <x:c r="F100" s="10" t="n">
        <x:f>E100/C100</x:f>
        <x:v>0.03283369699269523</x:v>
      </x:c>
      <x:c r="G100" s="11" t="n">
        <x:v>3708</x:v>
      </x:c>
      <x:c r="H100" s="11" t="n">
        <x:v>3708</x:v>
      </x:c>
      <x:c r="I100" s="11" t="n">
        <x:f>H100-G100</x:f>
        <x:v>0</x:v>
      </x:c>
      <x:c r="J100" s="12" t="n">
        <x:f>10000*C100/G100</x:f>
        <x:v>28427.7238403452</x:v>
      </x:c>
      <x:c r="K100" s="12" t="n">
        <x:f>10000*D100/H100</x:f>
        <x:v>29361.11111111111</x:v>
      </x:c>
      <x:c r="L100" s="12" t="n">
        <x:f>K100-J100</x:f>
        <x:v>933.3872707659102</x:v>
      </x:c>
      <x:c r="M100" s="2" t="str">
        <x:v>S1–S4</x:v>
      </x:c>
    </x:row>
    <x:row r="101" ht="24" customHeight="1">
      <x:c r="A101" s="2" t="str">
        <x:v>贵州省</x:v>
      </x:c>
      <x:c r="B101" s="13" t="n">
        <x:v>2016</x:v>
      </x:c>
      <x:c r="C101" s="9" t="n">
        <x:v>11792.4</x:v>
      </x:c>
      <x:c r="D101" s="9" t="n">
        <x:v>12133.9</x:v>
      </x:c>
      <x:c r="E101" s="9" t="n">
        <x:f>D101-C101</x:f>
        <x:v>341.5</x:v>
      </x:c>
      <x:c r="F101" s="10" t="n">
        <x:f>E101/C101</x:f>
        <x:v>0.028959329737797225</x:v>
      </x:c>
      <x:c r="G101" s="11" t="n">
        <x:v>3758</x:v>
      </x:c>
      <x:c r="H101" s="11" t="n">
        <x:v>3758</x:v>
      </x:c>
      <x:c r="I101" s="11" t="n">
        <x:f>H101-G101</x:f>
        <x:v>0</x:v>
      </x:c>
      <x:c r="J101" s="12" t="n">
        <x:f>10000*C101/G101</x:f>
        <x:v>31379.4571580628</x:v>
      </x:c>
      <x:c r="K101" s="12" t="n">
        <x:f>10000*D101/H101</x:f>
        <x:v>32288.18520489622</x:v>
      </x:c>
      <x:c r="L101" s="12" t="n">
        <x:f>K101-J101</x:f>
        <x:v>908.7280468334211</x:v>
      </x:c>
      <x:c r="M101" s="2" t="str">
        <x:v>S1–S4</x:v>
      </x:c>
    </x:row>
    <x:row r="102" ht="24" customHeight="1">
      <x:c r="A102" s="2" t="str">
        <x:v>贵州省</x:v>
      </x:c>
      <x:c r="B102" s="13" t="n">
        <x:v>2017</x:v>
      </x:c>
      <x:c r="C102" s="9" t="n">
        <x:v>13605.4</x:v>
      </x:c>
      <x:c r="D102" s="9" t="n">
        <x:v>14067.3</x:v>
      </x:c>
      <x:c r="E102" s="9" t="n">
        <x:f>D102-C102</x:f>
        <x:v>461.89999999999964</x:v>
      </x:c>
      <x:c r="F102" s="10" t="n">
        <x:f>E102/C102</x:f>
        <x:v>0.03394975524424123</x:v>
      </x:c>
      <x:c r="G102" s="11" t="n">
        <x:v>3803</x:v>
      </x:c>
      <x:c r="H102" s="11" t="n">
        <x:v>3803</x:v>
      </x:c>
      <x:c r="I102" s="11" t="n">
        <x:f>H102-G102</x:f>
        <x:v>0</x:v>
      </x:c>
      <x:c r="J102" s="12" t="n">
        <x:f>10000*C102/G102</x:f>
        <x:v>35775.44044175651</x:v>
      </x:c>
      <x:c r="K102" s="12" t="n">
        <x:f>10000*D102/H102</x:f>
        <x:v>36990.00788850907</x:v>
      </x:c>
      <x:c r="L102" s="12" t="n">
        <x:f>K102-J102</x:f>
        <x:v>1214.5674467525605</x:v>
      </x:c>
      <x:c r="M102" s="2" t="str">
        <x:v>S1–S4</x:v>
      </x:c>
    </x:row>
    <x:row r="103" ht="24" customHeight="1">
      <x:c r="A103" s="2" t="str">
        <x:v>贵州省</x:v>
      </x:c>
      <x:c r="B103" s="13" t="n">
        <x:v>2018</x:v>
      </x:c>
      <x:c r="C103" s="9" t="n">
        <x:v>15353.2</x:v>
      </x:c>
      <x:c r="D103" s="9" t="n">
        <x:v>15886.6</x:v>
      </x:c>
      <x:c r="E103" s="9" t="n">
        <x:f>D103-C103</x:f>
        <x:v>533.3999999999996</x:v>
      </x:c>
      <x:c r="F103" s="10" t="n">
        <x:f>E103/C103</x:f>
        <x:v>0.03474194304770339</x:v>
      </x:c>
      <x:c r="G103" s="11" t="n">
        <x:v>3822</x:v>
      </x:c>
      <x:c r="H103" s="11" t="n">
        <x:v>3822</x:v>
      </x:c>
      <x:c r="I103" s="11" t="n">
        <x:f>H103-G103</x:f>
        <x:v>0</x:v>
      </x:c>
      <x:c r="J103" s="12" t="n">
        <x:f>10000*C103/G103</x:f>
        <x:v>40170.59131344846</x:v>
      </x:c>
      <x:c r="K103" s="12" t="n">
        <x:f>10000*D103/H103</x:f>
        <x:v>41566.19570905285</x:v>
      </x:c>
      <x:c r="L103" s="12" t="n">
        <x:f>K103-J103</x:f>
        <x:v>1395.604395604394</x:v>
      </x:c>
      <x:c r="M103" s="2" t="str">
        <x:v>S1–S4</x:v>
      </x:c>
    </x:row>
    <x:row r="104" ht="24" customHeight="1">
      <x:c r="A104" s="14" t="str">
        <x:v>云南省</x:v>
      </x:c>
      <x:c r="B104" s="15" t="n">
        <x:v>2015</x:v>
      </x:c>
      <x:c r="C104" s="16" t="n">
        <x:v>14960</x:v>
      </x:c>
      <x:c r="D104" s="16" t="n">
        <x:v>15358.6</x:v>
      </x:c>
      <x:c r="E104" s="16" t="n">
        <x:f>D104-C104</x:f>
        <x:v>398.60000000000036</x:v>
      </x:c>
      <x:c r="F104" s="17" t="n">
        <x:f>E104/C104</x:f>
        <x:v>0.026644385026737993</x:v>
      </x:c>
      <x:c r="G104" s="18" t="n">
        <x:v>4663</x:v>
      </x:c>
      <x:c r="H104" s="18" t="n">
        <x:v>4663</x:v>
      </x:c>
      <x:c r="I104" s="18" t="n">
        <x:f>H104-G104</x:f>
        <x:v>0</x:v>
      </x:c>
      <x:c r="J104" s="19" t="n">
        <x:f>10000*C104/G104</x:f>
        <x:v>32082.350418185717</x:v>
      </x:c>
      <x:c r="K104" s="19" t="n">
        <x:f>10000*D104/H104</x:f>
        <x:v>32937.16491529059</x:v>
      </x:c>
      <x:c r="L104" s="19" t="n">
        <x:f>K104-J104</x:f>
        <x:v>854.8144971048714</x:v>
      </x:c>
      <x:c r="M104" s="14" t="str">
        <x:v>S1–S4</x:v>
      </x:c>
    </x:row>
    <x:row r="105" ht="24" customHeight="1">
      <x:c r="A105" s="14" t="str">
        <x:v>云南省</x:v>
      </x:c>
      <x:c r="B105" s="15" t="n">
        <x:v>2016</x:v>
      </x:c>
      <x:c r="C105" s="16" t="n">
        <x:v>16369</x:v>
      </x:c>
      <x:c r="D105" s="16" t="n">
        <x:v>16773.6</x:v>
      </x:c>
      <x:c r="E105" s="16" t="n">
        <x:f>D105-C105</x:f>
        <x:v>404.59999999999854</x:v>
      </x:c>
      <x:c r="F105" s="17" t="n">
        <x:f>E105/C105</x:f>
        <x:v>0.02471745372350165</x:v>
      </x:c>
      <x:c r="G105" s="18" t="n">
        <x:v>4677</x:v>
      </x:c>
      <x:c r="H105" s="18" t="n">
        <x:v>4677</x:v>
      </x:c>
      <x:c r="I105" s="18" t="n">
        <x:f>H105-G105</x:f>
        <x:v>0</x:v>
      </x:c>
      <x:c r="J105" s="19" t="n">
        <x:f>10000*C105/G105</x:f>
        <x:v>34998.93093863588</x:v>
      </x:c>
      <x:c r="K105" s="19" t="n">
        <x:f>10000*D105/H105</x:f>
        <x:v>35864.01539448364</x:v>
      </x:c>
      <x:c r="L105" s="19" t="n">
        <x:f>K105-J105</x:f>
        <x:v>865.084455847762</x:v>
      </x:c>
      <x:c r="M105" s="14" t="str">
        <x:v>S1–S4</x:v>
      </x:c>
    </x:row>
    <x:row r="106" ht="24" customHeight="1">
      <x:c r="A106" s="14" t="str">
        <x:v>云南省</x:v>
      </x:c>
      <x:c r="B106" s="15" t="n">
        <x:v>2017</x:v>
      </x:c>
      <x:c r="C106" s="16" t="n">
        <x:v>18486</x:v>
      </x:c>
      <x:c r="D106" s="16" t="n">
        <x:v>18864.6</x:v>
      </x:c>
      <x:c r="E106" s="16" t="n">
        <x:f>D106-C106</x:f>
        <x:v>378.59999999999854</x:v>
      </x:c>
      <x:c r="F106" s="17" t="n">
        <x:f>E106/C106</x:f>
        <x:v>0.020480363518338124</x:v>
      </x:c>
      <x:c r="G106" s="18" t="n">
        <x:v>4693</x:v>
      </x:c>
      <x:c r="H106" s="18" t="n">
        <x:v>4693</x:v>
      </x:c>
      <x:c r="I106" s="18" t="n">
        <x:f>H106-G106</x:f>
        <x:v>0</x:v>
      </x:c>
      <x:c r="J106" s="19" t="n">
        <x:f>10000*C106/G106</x:f>
        <x:v>39390.581717451525</x:v>
      </x:c>
      <x:c r="K106" s="19" t="n">
        <x:f>10000*D106/H106</x:f>
        <x:v>40197.31515022374</x:v>
      </x:c>
      <x:c r="L106" s="19" t="n">
        <x:f>K106-J106</x:f>
        <x:v>806.7334327722128</x:v>
      </x:c>
      <x:c r="M106" s="14" t="str">
        <x:v>S1–S4</x:v>
      </x:c>
    </x:row>
    <x:row r="107" ht="24" customHeight="1">
      <x:c r="A107" s="14" t="str">
        <x:v>云南省</x:v>
      </x:c>
      <x:c r="B107" s="15" t="n">
        <x:v>2018</x:v>
      </x:c>
      <x:c r="C107" s="16" t="n">
        <x:v>20880.6</x:v>
      </x:c>
      <x:c r="D107" s="16" t="n">
        <x:v>21427.5</x:v>
      </x:c>
      <x:c r="E107" s="16" t="n">
        <x:f>D107-C107</x:f>
        <x:v>546.9000000000015</x:v>
      </x:c>
      <x:c r="F107" s="17" t="n">
        <x:f>E107/C107</x:f>
        <x:v>0.026191776098388048</x:v>
      </x:c>
      <x:c r="G107" s="18" t="n">
        <x:v>4703</x:v>
      </x:c>
      <x:c r="H107" s="18" t="n">
        <x:v>4703</x:v>
      </x:c>
      <x:c r="I107" s="18" t="n">
        <x:f>H107-G107</x:f>
        <x:v>0</x:v>
      </x:c>
      <x:c r="J107" s="19" t="n">
        <x:f>10000*C107/G107</x:f>
        <x:v>44398.46906230066</x:v>
      </x:c>
      <x:c r="K107" s="19" t="n">
        <x:f>10000*D107/H107</x:f>
        <x:v>45561.34382309164</x:v>
      </x:c>
      <x:c r="L107" s="19" t="n">
        <x:f>K107-J107</x:f>
        <x:v>1162.8747607909827</x:v>
      </x:c>
      <x:c r="M107" s="14" t="str">
        <x:v>S1–S4</x:v>
      </x:c>
    </x:row>
    <x:row r="108" ht="24" customHeight="1">
      <x:c r="A108" s="2" t="str">
        <x:v>西藏自治区</x:v>
      </x:c>
      <x:c r="B108" s="13" t="n">
        <x:v>2015</x:v>
      </x:c>
      <x:c r="C108" s="9" t="n">
        <x:v>1043</x:v>
      </x:c>
      <x:c r="D108" s="9" t="n">
        <x:v>1063.6</x:v>
      </x:c>
      <x:c r="E108" s="9" t="n">
        <x:f>D108-C108</x:f>
        <x:v>20.59999999999991</x:v>
      </x:c>
      <x:c r="F108" s="10" t="n">
        <x:f>E108/C108</x:f>
        <x:v>0.019750719079578052</x:v>
      </x:c>
      <x:c r="G108" s="11" t="n">
        <x:v>330</x:v>
      </x:c>
      <x:c r="H108" s="11" t="n">
        <x:v>330</x:v>
      </x:c>
      <x:c r="I108" s="11" t="n">
        <x:f>H108-G108</x:f>
        <x:v>0</x:v>
      </x:c>
      <x:c r="J108" s="12" t="n">
        <x:f>10000*C108/G108</x:f>
        <x:v>31606.060606060608</x:v>
      </x:c>
      <x:c r="K108" s="12" t="n">
        <x:f>10000*D108/H108</x:f>
        <x:v>32230.303030303032</x:v>
      </x:c>
      <x:c r="L108" s="12" t="n">
        <x:f>K108-J108</x:f>
        <x:v>624.242424242424</x:v>
      </x:c>
      <x:c r="M108" s="2" t="str">
        <x:v>S1–S4</x:v>
      </x:c>
    </x:row>
    <x:row r="109" ht="24" customHeight="1">
      <x:c r="A109" s="2" t="str">
        <x:v>西藏自治区</x:v>
      </x:c>
      <x:c r="B109" s="13" t="n">
        <x:v>2016</x:v>
      </x:c>
      <x:c r="C109" s="9" t="n">
        <x:v>1173</x:v>
      </x:c>
      <x:c r="D109" s="9" t="n">
        <x:v>1197.4</x:v>
      </x:c>
      <x:c r="E109" s="9" t="n">
        <x:f>D109-C109</x:f>
        <x:v>24.40000000000009</x:v>
      </x:c>
      <x:c r="F109" s="10" t="n">
        <x:f>E109/C109</x:f>
        <x:v>0.020801364023870495</x:v>
      </x:c>
      <x:c r="G109" s="11" t="n">
        <x:v>340</x:v>
      </x:c>
      <x:c r="H109" s="11" t="n">
        <x:v>340</x:v>
      </x:c>
      <x:c r="I109" s="11" t="n">
        <x:f>H109-G109</x:f>
        <x:v>0</x:v>
      </x:c>
      <x:c r="J109" s="12" t="n">
        <x:f>10000*C109/G109</x:f>
        <x:v>34500</x:v>
      </x:c>
      <x:c r="K109" s="12" t="n">
        <x:f>10000*D109/H109</x:f>
        <x:v>35217.64705882353</x:v>
      </x:c>
      <x:c r="L109" s="12" t="n">
        <x:f>K109-J109</x:f>
        <x:v>717.6470588235316</x:v>
      </x:c>
      <x:c r="M109" s="2" t="str">
        <x:v>S1–S4</x:v>
      </x:c>
    </x:row>
    <x:row r="110" ht="24" customHeight="1">
      <x:c r="A110" s="2" t="str">
        <x:v>西藏自治区</x:v>
      </x:c>
      <x:c r="B110" s="13" t="n">
        <x:v>2017</x:v>
      </x:c>
      <x:c r="C110" s="9" t="n">
        <x:v>1349</x:v>
      </x:c>
      <x:c r="D110" s="9" t="n">
        <x:v>1381</x:v>
      </x:c>
      <x:c r="E110" s="9" t="n">
        <x:f>D110-C110</x:f>
        <x:v>32</x:v>
      </x:c>
      <x:c r="F110" s="10" t="n">
        <x:f>E110/C110</x:f>
        <x:v>0.023721275018532245</x:v>
      </x:c>
      <x:c r="G110" s="11" t="n">
        <x:v>349</x:v>
      </x:c>
      <x:c r="H110" s="11" t="n">
        <x:v>349</x:v>
      </x:c>
      <x:c r="I110" s="11" t="n">
        <x:f>H110-G110</x:f>
        <x:v>0</x:v>
      </x:c>
      <x:c r="J110" s="12" t="n">
        <x:f>10000*C110/G110</x:f>
        <x:v>38653.295128939826</x:v>
      </x:c>
      <x:c r="K110" s="12" t="n">
        <x:f>10000*D110/H110</x:f>
        <x:v>39570.2005730659</x:v>
      </x:c>
      <x:c r="L110" s="12" t="n">
        <x:f>K110-J110</x:f>
        <x:v>916.9054441260741</x:v>
      </x:c>
      <x:c r="M110" s="2" t="str">
        <x:v>S1–S4</x:v>
      </x:c>
    </x:row>
    <x:row r="111" ht="24" customHeight="1">
      <x:c r="A111" s="2" t="str">
        <x:v>西藏自治区</x:v>
      </x:c>
      <x:c r="B111" s="13" t="n">
        <x:v>2018</x:v>
      </x:c>
      <x:c r="C111" s="9" t="n">
        <x:v>1548.4</x:v>
      </x:c>
      <x:c r="D111" s="9" t="n">
        <x:v>1583.5</x:v>
      </x:c>
      <x:c r="E111" s="9" t="n">
        <x:f>D111-C111</x:f>
        <x:v>35.09999999999991</x:v>
      </x:c>
      <x:c r="F111" s="10" t="n">
        <x:f>E111/C111</x:f>
        <x:v>0.022668561095324145</x:v>
      </x:c>
      <x:c r="G111" s="11" t="n">
        <x:v>354</x:v>
      </x:c>
      <x:c r="H111" s="11" t="n">
        <x:v>354</x:v>
      </x:c>
      <x:c r="I111" s="11" t="n">
        <x:f>H111-G111</x:f>
        <x:v>0</x:v>
      </x:c>
      <x:c r="J111" s="12" t="n">
        <x:f>10000*C111/G111</x:f>
        <x:v>43740.11299435028</x:v>
      </x:c>
      <x:c r="K111" s="12" t="n">
        <x:f>10000*D111/H111</x:f>
        <x:v>44731.6384180791</x:v>
      </x:c>
      <x:c r="L111" s="12" t="n">
        <x:f>K111-J111</x:f>
        <x:v>991.5254237288173</x:v>
      </x:c>
      <x:c r="M111" s="2" t="str">
        <x:v>S1–S4</x:v>
      </x:c>
    </x:row>
    <x:row r="112" ht="24" customHeight="1">
      <x:c r="A112" s="14" t="str">
        <x:v>陕西省</x:v>
      </x:c>
      <x:c r="B112" s="15" t="n">
        <x:v>2015</x:v>
      </x:c>
      <x:c r="C112" s="16" t="n">
        <x:v>17898.8</x:v>
      </x:c>
      <x:c r="D112" s="16" t="n">
        <x:v>18188.3</x:v>
      </x:c>
      <x:c r="E112" s="16" t="n">
        <x:f>D112-C112</x:f>
        <x:v>289.5</x:v>
      </x:c>
      <x:c r="F112" s="17" t="n">
        <x:f>E112/C112</x:f>
        <x:v>0.016174268666055827</x:v>
      </x:c>
      <x:c r="G112" s="18" t="n">
        <x:v>3846</x:v>
      </x:c>
      <x:c r="H112" s="18" t="n">
        <x:v>3846</x:v>
      </x:c>
      <x:c r="I112" s="18" t="n">
        <x:f>H112-G112</x:f>
        <x:v>0</x:v>
      </x:c>
      <x:c r="J112" s="19" t="n">
        <x:f>10000*C112/G112</x:f>
        <x:v>46538.74154966199</x:v>
      </x:c>
      <x:c r="K112" s="19" t="n">
        <x:f>10000*D112/H112</x:f>
        <x:v>47291.47165886636</x:v>
      </x:c>
      <x:c r="L112" s="19" t="n">
        <x:f>K112-J112</x:f>
        <x:v>752.7301092043708</x:v>
      </x:c>
      <x:c r="M112" s="14" t="str">
        <x:v>S1–S4</x:v>
      </x:c>
    </x:row>
    <x:row r="113" ht="24" customHeight="1">
      <x:c r="A113" s="14" t="str">
        <x:v>陕西省</x:v>
      </x:c>
      <x:c r="B113" s="15" t="n">
        <x:v>2016</x:v>
      </x:c>
      <x:c r="C113" s="16" t="n">
        <x:v>19045.8</x:v>
      </x:c>
      <x:c r="D113" s="16" t="n">
        <x:v>19354.6</x:v>
      </x:c>
      <x:c r="E113" s="16" t="n">
        <x:f>D113-C113</x:f>
        <x:v>308.7999999999993</x:v>
      </x:c>
      <x:c r="F113" s="17" t="n">
        <x:f>E113/C113</x:f>
        <x:v>0.016213548393871575</x:v>
      </x:c>
      <x:c r="G113" s="18" t="n">
        <x:v>3874</x:v>
      </x:c>
      <x:c r="H113" s="18" t="n">
        <x:v>3874</x:v>
      </x:c>
      <x:c r="I113" s="18" t="n">
        <x:f>H113-G113</x:f>
        <x:v>0</x:v>
      </x:c>
      <x:c r="J113" s="19" t="n">
        <x:f>10000*C113/G113</x:f>
        <x:v>49163.13887454827</x:v>
      </x:c>
      <x:c r="K113" s="19" t="n">
        <x:f>10000*D113/H113</x:f>
        <x:v>49960.24780588539</x:v>
      </x:c>
      <x:c r="L113" s="19" t="n">
        <x:f>K113-J113</x:f>
        <x:v>797.1089313371194</x:v>
      </x:c>
      <x:c r="M113" s="14" t="str">
        <x:v>S1–S4</x:v>
      </x:c>
    </x:row>
    <x:row r="114" ht="24" customHeight="1">
      <x:c r="A114" s="14" t="str">
        <x:v>陕西省</x:v>
      </x:c>
      <x:c r="B114" s="15" t="n">
        <x:v>2017</x:v>
      </x:c>
      <x:c r="C114" s="16" t="n">
        <x:v>21473.5</x:v>
      </x:c>
      <x:c r="D114" s="16" t="n">
        <x:v>21776.1</x:v>
      </x:c>
      <x:c r="E114" s="16" t="n">
        <x:f>D114-C114</x:f>
        <x:v>302.59999999999854</x:v>
      </x:c>
      <x:c r="F114" s="17" t="n">
        <x:f>E114/C114</x:f>
        <x:v>0.014091787552099031</x:v>
      </x:c>
      <x:c r="G114" s="18" t="n">
        <x:v>3904</x:v>
      </x:c>
      <x:c r="H114" s="18" t="n">
        <x:v>3904</x:v>
      </x:c>
      <x:c r="I114" s="18" t="n">
        <x:f>H114-G114</x:f>
        <x:v>0</x:v>
      </x:c>
      <x:c r="J114" s="19" t="n">
        <x:f>10000*C114/G114</x:f>
        <x:v>55003.84221311475</x:v>
      </x:c>
      <x:c r="K114" s="19" t="n">
        <x:f>10000*D114/H114</x:f>
        <x:v>55778.94467213115</x:v>
      </x:c>
      <x:c r="L114" s="19" t="n">
        <x:f>K114-J114</x:f>
        <x:v>775.1024590163943</x:v>
      </x:c>
      <x:c r="M114" s="14" t="str">
        <x:v>S1–S4</x:v>
      </x:c>
    </x:row>
    <x:row r="115" ht="24" customHeight="1">
      <x:c r="A115" s="14" t="str">
        <x:v>陕西省</x:v>
      </x:c>
      <x:c r="B115" s="15" t="n">
        <x:v>2018</x:v>
      </x:c>
      <x:c r="C115" s="16" t="n">
        <x:v>23941.9</x:v>
      </x:c>
      <x:c r="D115" s="16" t="n">
        <x:v>24354.8</x:v>
      </x:c>
      <x:c r="E115" s="16" t="n">
        <x:f>D115-C115</x:f>
        <x:v>412.8999999999978</x:v>
      </x:c>
      <x:c r="F115" s="17" t="n">
        <x:f>E115/C115</x:f>
        <x:v>0.01724591615535934</x:v>
      </x:c>
      <x:c r="G115" s="18" t="n">
        <x:v>3931</x:v>
      </x:c>
      <x:c r="H115" s="18" t="n">
        <x:v>3931</x:v>
      </x:c>
      <x:c r="I115" s="18" t="n">
        <x:f>H115-G115</x:f>
        <x:v>0</x:v>
      </x:c>
      <x:c r="J115" s="19" t="n">
        <x:f>10000*C115/G115</x:f>
        <x:v>60905.36759094378</x:v>
      </x:c>
      <x:c r="K115" s="19" t="n">
        <x:f>10000*D115/H115</x:f>
        <x:v>61955.73645382854</x:v>
      </x:c>
      <x:c r="L115" s="19" t="n">
        <x:f>K115-J115</x:f>
        <x:v>1050.3688628847594</x:v>
      </x:c>
      <x:c r="M115" s="14" t="str">
        <x:v>S1–S4</x:v>
      </x:c>
    </x:row>
    <x:row r="116" ht="24" customHeight="1">
      <x:c r="A116" s="2" t="str">
        <x:v>甘肃省</x:v>
      </x:c>
      <x:c r="B116" s="13" t="n">
        <x:v>2015</x:v>
      </x:c>
      <x:c r="C116" s="9" t="n">
        <x:v>6556.6</x:v>
      </x:c>
      <x:c r="D116" s="9" t="n">
        <x:v>6793.4</x:v>
      </x:c>
      <x:c r="E116" s="9" t="n">
        <x:f>D116-C116</x:f>
        <x:v>236.79999999999927</x:v>
      </x:c>
      <x:c r="F116" s="10" t="n">
        <x:f>E116/C116</x:f>
        <x:v>0.036116279779153715</x:v>
      </x:c>
      <x:c r="G116" s="11" t="n">
        <x:v>2523</x:v>
      </x:c>
      <x:c r="H116" s="11" t="n">
        <x:v>2523</x:v>
      </x:c>
      <x:c r="I116" s="11" t="n">
        <x:f>H116-G116</x:f>
        <x:v>0</x:v>
      </x:c>
      <x:c r="J116" s="12" t="n">
        <x:f>10000*C116/G116</x:f>
        <x:v>25987.316686484344</x:v>
      </x:c>
      <x:c r="K116" s="12" t="n">
        <x:f>10000*D116/H116</x:f>
        <x:v>26925.881886642885</x:v>
      </x:c>
      <x:c r="L116" s="12" t="n">
        <x:f>K116-J116</x:f>
        <x:v>938.5652001585404</x:v>
      </x:c>
      <x:c r="M116" s="2" t="str">
        <x:v>S1–S4</x:v>
      </x:c>
    </x:row>
    <x:row r="117" ht="24" customHeight="1">
      <x:c r="A117" s="2" t="str">
        <x:v>甘肃省</x:v>
      </x:c>
      <x:c r="B117" s="13" t="n">
        <x:v>2016</x:v>
      </x:c>
      <x:c r="C117" s="9" t="n">
        <x:v>6907.9</x:v>
      </x:c>
      <x:c r="D117" s="9" t="n">
        <x:v>7207.1</x:v>
      </x:c>
      <x:c r="E117" s="9" t="n">
        <x:f>D117-C117</x:f>
        <x:v>299.2000000000007</x:v>
      </x:c>
      <x:c r="F117" s="10" t="n">
        <x:f>E117/C117</x:f>
        <x:v>0.04331272890458761</x:v>
      </x:c>
      <x:c r="G117" s="11" t="n">
        <x:v>2520</x:v>
      </x:c>
      <x:c r="H117" s="11" t="n">
        <x:v>2520</x:v>
      </x:c>
      <x:c r="I117" s="11" t="n">
        <x:f>H117-G117</x:f>
        <x:v>0</x:v>
      </x:c>
      <x:c r="J117" s="12" t="n">
        <x:f>10000*C117/G117</x:f>
        <x:v>27412.301587301587</x:v>
      </x:c>
      <x:c r="K117" s="12" t="n">
        <x:f>10000*D117/H117</x:f>
        <x:v>28599.603174603173</x:v>
      </x:c>
      <x:c r="L117" s="12" t="n">
        <x:f>K117-J117</x:f>
        <x:v>1187.3015873015866</x:v>
      </x:c>
      <x:c r="M117" s="2" t="str">
        <x:v>S1–S4</x:v>
      </x:c>
    </x:row>
    <x:row r="118" ht="24" customHeight="1">
      <x:c r="A118" s="2" t="str">
        <x:v>甘肃省</x:v>
      </x:c>
      <x:c r="B118" s="13" t="n">
        <x:v>2017</x:v>
      </x:c>
      <x:c r="C118" s="9" t="n">
        <x:v>7336.7</x:v>
      </x:c>
      <x:c r="D118" s="9" t="n">
        <x:v>7642.6</x:v>
      </x:c>
      <x:c r="E118" s="9" t="n">
        <x:f>D118-C118</x:f>
        <x:v>305.90000000000055</x:v>
      </x:c>
      <x:c r="F118" s="10" t="n">
        <x:f>E118/C118</x:f>
        <x:v>0.04169449480011457</x:v>
      </x:c>
      <x:c r="G118" s="11" t="n">
        <x:v>2522</x:v>
      </x:c>
      <x:c r="H118" s="11" t="n">
        <x:v>2522</x:v>
      </x:c>
      <x:c r="I118" s="11" t="n">
        <x:f>H118-G118</x:f>
        <x:v>0</x:v>
      </x:c>
      <x:c r="J118" s="12" t="n">
        <x:f>10000*C118/G118</x:f>
        <x:v>29090.800951625693</x:v>
      </x:c>
      <x:c r="K118" s="12" t="n">
        <x:f>10000*D118/H118</x:f>
        <x:v>30303.727200634417</x:v>
      </x:c>
      <x:c r="L118" s="12" t="n">
        <x:f>K118-J118</x:f>
        <x:v>1212.926249008724</x:v>
      </x:c>
      <x:c r="M118" s="2" t="str">
        <x:v>S1–S4</x:v>
      </x:c>
    </x:row>
    <x:row r="119" ht="24" customHeight="1">
      <x:c r="A119" s="2" t="str">
        <x:v>甘肃省</x:v>
      </x:c>
      <x:c r="B119" s="13" t="n">
        <x:v>2018</x:v>
      </x:c>
      <x:c r="C119" s="9" t="n">
        <x:v>8104.1</x:v>
      </x:c>
      <x:c r="D119" s="9" t="n">
        <x:v>8364.7</x:v>
      </x:c>
      <x:c r="E119" s="9" t="n">
        <x:f>D119-C119</x:f>
        <x:v>260.60000000000036</x:v>
      </x:c>
      <x:c r="F119" s="10" t="n">
        <x:f>E119/C119</x:f>
        <x:v>0.032156562727508345</x:v>
      </x:c>
      <x:c r="G119" s="11" t="n">
        <x:v>2515</x:v>
      </x:c>
      <x:c r="H119" s="11" t="n">
        <x:v>2515</x:v>
      </x:c>
      <x:c r="I119" s="11" t="n">
        <x:f>H119-G119</x:f>
        <x:v>0</x:v>
      </x:c>
      <x:c r="J119" s="12" t="n">
        <x:f>10000*C119/G119</x:f>
        <x:v>32223.061630218686</x:v>
      </x:c>
      <x:c r="K119" s="12" t="n">
        <x:f>10000*D119/H119</x:f>
        <x:v>33259.24453280318</x:v>
      </x:c>
      <x:c r="L119" s="12" t="n">
        <x:f>K119-J119</x:f>
        <x:v>1036.1829025844963</x:v>
      </x:c>
      <x:c r="M119" s="2" t="str">
        <x:v>S1–S4</x:v>
      </x:c>
    </x:row>
    <x:row r="120" ht="24" customHeight="1">
      <x:c r="A120" s="14" t="str">
        <x:v>青海省</x:v>
      </x:c>
      <x:c r="B120" s="15" t="n">
        <x:v>2015</x:v>
      </x:c>
      <x:c r="C120" s="16" t="n">
        <x:v>2011</x:v>
      </x:c>
      <x:c r="D120" s="16" t="n">
        <x:v>2054.3</x:v>
      </x:c>
      <x:c r="E120" s="16" t="n">
        <x:f>D120-C120</x:f>
        <x:v>43.30000000000018</x:v>
      </x:c>
      <x:c r="F120" s="17" t="n">
        <x:f>E120/C120</x:f>
        <x:v>0.021531576330184078</x:v>
      </x:c>
      <x:c r="G120" s="18" t="n">
        <x:v>577</x:v>
      </x:c>
      <x:c r="H120" s="18" t="n">
        <x:v>577</x:v>
      </x:c>
      <x:c r="I120" s="18" t="n">
        <x:f>H120-G120</x:f>
        <x:v>0</x:v>
      </x:c>
      <x:c r="J120" s="19" t="n">
        <x:f>10000*C120/G120</x:f>
        <x:v>34852.6863084922</x:v>
      </x:c>
      <x:c r="K120" s="19" t="n">
        <x:f>10000*D120/H120</x:f>
        <x:v>35603.11958405546</x:v>
      </x:c>
      <x:c r="L120" s="19" t="n">
        <x:f>K120-J120</x:f>
        <x:v>750.4332755632568</x:v>
      </x:c>
      <x:c r="M120" s="14" t="str">
        <x:v>S1–S4</x:v>
      </x:c>
    </x:row>
    <x:row r="121" ht="24" customHeight="1">
      <x:c r="A121" s="14" t="str">
        <x:v>青海省</x:v>
      </x:c>
      <x:c r="B121" s="15" t="n">
        <x:v>2016</x:v>
      </x:c>
      <x:c r="C121" s="16" t="n">
        <x:v>2258.2</x:v>
      </x:c>
      <x:c r="D121" s="16" t="n">
        <x:v>2310.7</x:v>
      </x:c>
      <x:c r="E121" s="16" t="n">
        <x:f>D121-C121</x:f>
        <x:v>52.5</x:v>
      </x:c>
      <x:c r="F121" s="17" t="n">
        <x:f>E121/C121</x:f>
        <x:v>0.02324860508369498</x:v>
      </x:c>
      <x:c r="G121" s="18" t="n">
        <x:v>582</x:v>
      </x:c>
      <x:c r="H121" s="18" t="n">
        <x:v>582</x:v>
      </x:c>
      <x:c r="I121" s="18" t="n">
        <x:f>H121-G121</x:f>
        <x:v>0</x:v>
      </x:c>
      <x:c r="J121" s="19" t="n">
        <x:f>10000*C121/G121</x:f>
        <x:v>38800.687285223365</x:v>
      </x:c>
      <x:c r="K121" s="19" t="n">
        <x:f>10000*D121/H121</x:f>
        <x:v>39702.74914089347</x:v>
      </x:c>
      <x:c r="L121" s="19" t="n">
        <x:f>K121-J121</x:f>
        <x:v>902.0618556701083</x:v>
      </x:c>
      <x:c r="M121" s="14" t="str">
        <x:v>S1–S4</x:v>
      </x:c>
    </x:row>
    <x:row r="122" ht="24" customHeight="1">
      <x:c r="A122" s="14" t="str">
        <x:v>青海省</x:v>
      </x:c>
      <x:c r="B122" s="15" t="n">
        <x:v>2017</x:v>
      </x:c>
      <x:c r="C122" s="16" t="n">
        <x:v>2465.1</x:v>
      </x:c>
      <x:c r="D122" s="16" t="n">
        <x:v>2517</x:v>
      </x:c>
      <x:c r="E122" s="16" t="n">
        <x:f>D122-C122</x:f>
        <x:v>51.90000000000009</x:v>
      </x:c>
      <x:c r="F122" s="17" t="n">
        <x:f>E122/C122</x:f>
        <x:v>0.02105391262017772</x:v>
      </x:c>
      <x:c r="G122" s="18" t="n">
        <x:v>586</x:v>
      </x:c>
      <x:c r="H122" s="18" t="n">
        <x:v>586</x:v>
      </x:c>
      <x:c r="I122" s="18" t="n">
        <x:f>H122-G122</x:f>
        <x:v>0</x:v>
      </x:c>
      <x:c r="J122" s="19" t="n">
        <x:f>10000*C122/G122</x:f>
        <x:v>42066.55290102389</x:v>
      </x:c>
      <x:c r="K122" s="19" t="n">
        <x:f>10000*D122/H122</x:f>
        <x:v>42952.21843003413</x:v>
      </x:c>
      <x:c r="L122" s="19" t="n">
        <x:f>K122-J122</x:f>
        <x:v>885.6655290102426</x:v>
      </x:c>
      <x:c r="M122" s="14" t="str">
        <x:v>S1–S4</x:v>
      </x:c>
    </x:row>
    <x:row r="123" ht="24" customHeight="1">
      <x:c r="A123" s="14" t="str">
        <x:v>青海省</x:v>
      </x:c>
      <x:c r="B123" s="15" t="n">
        <x:v>2018</x:v>
      </x:c>
      <x:c r="C123" s="16" t="n">
        <x:v>2748</x:v>
      </x:c>
      <x:c r="D123" s="16" t="n">
        <x:v>2799.9</x:v>
      </x:c>
      <x:c r="E123" s="16" t="n">
        <x:f>D123-C123</x:f>
        <x:v>51.90000000000009</x:v>
      </x:c>
      <x:c r="F123" s="17" t="n">
        <x:f>E123/C123</x:f>
        <x:v>0.018886462882096104</x:v>
      </x:c>
      <x:c r="G123" s="18" t="n">
        <x:v>587</x:v>
      </x:c>
      <x:c r="H123" s="18" t="n">
        <x:v>587</x:v>
      </x:c>
      <x:c r="I123" s="18" t="n">
        <x:f>H123-G123</x:f>
        <x:v>0</x:v>
      </x:c>
      <x:c r="J123" s="19" t="n">
        <x:f>10000*C123/G123</x:f>
        <x:v>46814.31005110733</x:v>
      </x:c>
      <x:c r="K123" s="19" t="n">
        <x:f>10000*D123/H123</x:f>
        <x:v>47698.4667802385</x:v>
      </x:c>
      <x:c r="L123" s="19" t="n">
        <x:f>K123-J123</x:f>
        <x:v>884.156729131173</x:v>
      </x:c>
      <x:c r="M123" s="14" t="str">
        <x:v>S1–S4</x:v>
      </x:c>
    </x:row>
    <x:row r="124" ht="24" customHeight="1">
      <x:c r="A124" s="2" t="str">
        <x:v>宁夏回族自治区</x:v>
      </x:c>
      <x:c r="B124" s="13" t="n">
        <x:v>2015</x:v>
      </x:c>
      <x:c r="C124" s="9" t="n">
        <x:v>2579.4</x:v>
      </x:c>
      <x:c r="D124" s="9" t="n">
        <x:v>2644.7</x:v>
      </x:c>
      <x:c r="E124" s="9" t="n">
        <x:f>D124-C124</x:f>
        <x:v>65.29999999999973</x:v>
      </x:c>
      <x:c r="F124" s="10" t="n">
        <x:f>E124/C124</x:f>
        <x:v>0.02531596495308976</x:v>
      </x:c>
      <x:c r="G124" s="11" t="n">
        <x:v>684</x:v>
      </x:c>
      <x:c r="H124" s="11" t="n">
        <x:v>684</x:v>
      </x:c>
      <x:c r="I124" s="11" t="n">
        <x:f>H124-G124</x:f>
        <x:v>0</x:v>
      </x:c>
      <x:c r="J124" s="12" t="n">
        <x:f>10000*C124/G124</x:f>
        <x:v>37710.52631578947</x:v>
      </x:c>
      <x:c r="K124" s="12" t="n">
        <x:f>10000*D124/H124</x:f>
        <x:v>38665.20467836257</x:v>
      </x:c>
      <x:c r="L124" s="12" t="n">
        <x:f>K124-J124</x:f>
        <x:v>954.6783625730968</x:v>
      </x:c>
      <x:c r="M124" s="2" t="str">
        <x:v>S1–S4</x:v>
      </x:c>
    </x:row>
    <x:row r="125" ht="24" customHeight="1">
      <x:c r="A125" s="2" t="str">
        <x:v>宁夏回族自治区</x:v>
      </x:c>
      <x:c r="B125" s="13" t="n">
        <x:v>2016</x:v>
      </x:c>
      <x:c r="C125" s="9" t="n">
        <x:v>2781.4</x:v>
      </x:c>
      <x:c r="D125" s="9" t="n">
        <x:v>2853.3</x:v>
      </x:c>
      <x:c r="E125" s="9" t="n">
        <x:f>D125-C125</x:f>
        <x:v>71.90000000000009</x:v>
      </x:c>
      <x:c r="F125" s="10" t="n">
        <x:f>E125/C125</x:f>
        <x:v>0.025850291220248827</x:v>
      </x:c>
      <x:c r="G125" s="11" t="n">
        <x:v>695</x:v>
      </x:c>
      <x:c r="H125" s="11" t="n">
        <x:v>695</x:v>
      </x:c>
      <x:c r="I125" s="11" t="n">
        <x:f>H125-G125</x:f>
        <x:v>0</x:v>
      </x:c>
      <x:c r="J125" s="12" t="n">
        <x:f>10000*C125/G125</x:f>
        <x:v>40020.14388489209</x:v>
      </x:c>
      <x:c r="K125" s="12" t="n">
        <x:f>10000*D125/H125</x:f>
        <x:v>41054.676258992804</x:v>
      </x:c>
      <x:c r="L125" s="12" t="n">
        <x:f>K125-J125</x:f>
        <x:v>1034.532374100716</x:v>
      </x:c>
      <x:c r="M125" s="2" t="str">
        <x:v>S1–S4</x:v>
      </x:c>
    </x:row>
    <x:row r="126" ht="24" customHeight="1">
      <x:c r="A126" s="2" t="str">
        <x:v>宁夏回族自治区</x:v>
      </x:c>
      <x:c r="B126" s="13" t="n">
        <x:v>2017</x:v>
      </x:c>
      <x:c r="C126" s="9" t="n">
        <x:v>3200.3</x:v>
      </x:c>
      <x:c r="D126" s="9" t="n">
        <x:v>3271.6</x:v>
      </x:c>
      <x:c r="E126" s="9" t="n">
        <x:f>D126-C126</x:f>
        <x:v>71.29999999999973</x:v>
      </x:c>
      <x:c r="F126" s="10" t="n">
        <x:f>E126/C126</x:f>
        <x:v>0.022279161328625355</x:v>
      </x:c>
      <x:c r="G126" s="11" t="n">
        <x:v>705</x:v>
      </x:c>
      <x:c r="H126" s="11" t="n">
        <x:v>705</x:v>
      </x:c>
      <x:c r="I126" s="11" t="n">
        <x:f>H126-G126</x:f>
        <x:v>0</x:v>
      </x:c>
      <x:c r="J126" s="12" t="n">
        <x:f>10000*C126/G126</x:f>
        <x:v>45394.32624113475</x:v>
      </x:c>
      <x:c r="K126" s="12" t="n">
        <x:f>10000*D126/H126</x:f>
        <x:v>46405.67375886525</x:v>
      </x:c>
      <x:c r="L126" s="12" t="n">
        <x:f>K126-J126</x:f>
        <x:v>1011.3475177304936</x:v>
      </x:c>
      <x:c r="M126" s="2" t="str">
        <x:v>S1–S4</x:v>
      </x:c>
    </x:row>
    <x:row r="127" ht="24" customHeight="1">
      <x:c r="A127" s="2" t="str">
        <x:v>宁夏回族自治区</x:v>
      </x:c>
      <x:c r="B127" s="13" t="n">
        <x:v>2018</x:v>
      </x:c>
      <x:c r="C127" s="9" t="n">
        <x:v>3510.2</x:v>
      </x:c>
      <x:c r="D127" s="9" t="n">
        <x:v>3580.6</x:v>
      </x:c>
      <x:c r="E127" s="9" t="n">
        <x:f>D127-C127</x:f>
        <x:v>70.40000000000009</x:v>
      </x:c>
      <x:c r="F127" s="10" t="n">
        <x:f>E127/C127</x:f>
        <x:v>0.020055837274229417</x:v>
      </x:c>
      <x:c r="G127" s="11" t="n">
        <x:v>710</x:v>
      </x:c>
      <x:c r="H127" s="11" t="n">
        <x:v>710</x:v>
      </x:c>
      <x:c r="I127" s="11" t="n">
        <x:f>H127-G127</x:f>
        <x:v>0</x:v>
      </x:c>
      <x:c r="J127" s="12" t="n">
        <x:f>10000*C127/G127</x:f>
        <x:v>49439.43661971831</x:v>
      </x:c>
      <x:c r="K127" s="12" t="n">
        <x:f>10000*D127/H127</x:f>
        <x:v>50430.98591549296</x:v>
      </x:c>
      <x:c r="L127" s="12" t="n">
        <x:f>K127-J127</x:f>
        <x:v>991.5492957746465</x:v>
      </x:c>
      <x:c r="M127" s="2" t="str">
        <x:v>S1–S4</x:v>
      </x:c>
    </x:row>
    <x:row r="128" ht="24" customHeight="1">
      <x:c r="A128" s="14" t="str">
        <x:v>新疆维吾尔自治区</x:v>
      </x:c>
      <x:c r="B128" s="15" t="n">
        <x:v>2015</x:v>
      </x:c>
      <x:c r="C128" s="16" t="n">
        <x:v>9306.9</x:v>
      </x:c>
      <x:c r="D128" s="16" t="n">
        <x:v>9545.7</x:v>
      </x:c>
      <x:c r="E128" s="16" t="n">
        <x:f>D128-C128</x:f>
        <x:v>238.8000000000011</x:v>
      </x:c>
      <x:c r="F128" s="17" t="n">
        <x:f>E128/C128</x:f>
        <x:v>0.02565838249041046</x:v>
      </x:c>
      <x:c r="G128" s="18" t="n">
        <x:v>2385</x:v>
      </x:c>
      <x:c r="H128" s="18" t="n">
        <x:v>2385</x:v>
      </x:c>
      <x:c r="I128" s="18" t="n">
        <x:f>H128-G128</x:f>
        <x:v>0</x:v>
      </x:c>
      <x:c r="J128" s="19" t="n">
        <x:f>10000*C128/G128</x:f>
        <x:v>39022.64150943396</x:v>
      </x:c>
      <x:c r="K128" s="19" t="n">
        <x:f>10000*D128/H128</x:f>
        <x:v>40023.89937106918</x:v>
      </x:c>
      <x:c r="L128" s="19" t="n">
        <x:f>K128-J128</x:f>
        <x:v>1001.2578616352184</x:v>
      </x:c>
      <x:c r="M128" s="14" t="str">
        <x:v>S1–S4</x:v>
      </x:c>
    </x:row>
    <x:row r="129" ht="24" customHeight="1">
      <x:c r="A129" s="14" t="str">
        <x:v>新疆维吾尔自治区</x:v>
      </x:c>
      <x:c r="B129" s="15" t="n">
        <x:v>2016</x:v>
      </x:c>
      <x:c r="C129" s="16" t="n">
        <x:v>9630.8</x:v>
      </x:c>
      <x:c r="D129" s="16" t="n">
        <x:v>9913.9</x:v>
      </x:c>
      <x:c r="E129" s="16" t="n">
        <x:f>D129-C129</x:f>
        <x:v>283.10000000000036</x:v>
      </x:c>
      <x:c r="F129" s="17" t="n">
        <x:f>E129/C129</x:f>
        <x:v>0.029395273497528802</x:v>
      </x:c>
      <x:c r="G129" s="18" t="n">
        <x:v>2428</x:v>
      </x:c>
      <x:c r="H129" s="18" t="n">
        <x:v>2428</x:v>
      </x:c>
      <x:c r="I129" s="18" t="n">
        <x:f>H129-G129</x:f>
        <x:v>0</x:v>
      </x:c>
      <x:c r="J129" s="19" t="n">
        <x:f>10000*C129/G129</x:f>
        <x:v>39665.568369028006</x:v>
      </x:c>
      <x:c r="K129" s="19" t="n">
        <x:f>10000*D129/H129</x:f>
        <x:v>40831.54859967051</x:v>
      </x:c>
      <x:c r="L129" s="19" t="n">
        <x:f>K129-J129</x:f>
        <x:v>1165.9802306425045</x:v>
      </x:c>
      <x:c r="M129" s="14" t="str">
        <x:v>S1–S4</x:v>
      </x:c>
    </x:row>
    <x:row r="130" ht="24" customHeight="1">
      <x:c r="A130" s="14" t="str">
        <x:v>新疆维吾尔自治区</x:v>
      </x:c>
      <x:c r="B130" s="15" t="n">
        <x:v>2017</x:v>
      </x:c>
      <x:c r="C130" s="16" t="n">
        <x:v>11159.9</x:v>
      </x:c>
      <x:c r="D130" s="16" t="n">
        <x:v>11460.8</x:v>
      </x:c>
      <x:c r="E130" s="16" t="n">
        <x:f>D130-C130</x:f>
        <x:v>300.89999999999964</x:v>
      </x:c>
      <x:c r="F130" s="17" t="n">
        <x:f>E130/C130</x:f>
        <x:v>0.026962607191820684</x:v>
      </x:c>
      <x:c r="G130" s="18" t="n">
        <x:v>2480</x:v>
      </x:c>
      <x:c r="H130" s="18" t="n">
        <x:v>2480</x:v>
      </x:c>
      <x:c r="I130" s="18" t="n">
        <x:f>H130-G130</x:f>
        <x:v>0</x:v>
      </x:c>
      <x:c r="J130" s="19" t="n">
        <x:f>10000*C130/G130</x:f>
        <x:v>44999.596774193546</x:v>
      </x:c>
      <x:c r="K130" s="19" t="n">
        <x:f>10000*D130/H130</x:f>
        <x:v>46212.903225806454</x:v>
      </x:c>
      <x:c r="L130" s="19" t="n">
        <x:f>K130-J130</x:f>
        <x:v>1213.3064516129089</x:v>
      </x:c>
      <x:c r="M130" s="14" t="str">
        <x:v>S1–S4</x:v>
      </x:c>
    </x:row>
    <x:row r="131" ht="24" customHeight="1">
      <x:c r="A131" s="14" t="str">
        <x:v>新疆维吾尔自治区</x:v>
      </x:c>
      <x:c r="B131" s="15" t="n">
        <x:v>2018</x:v>
      </x:c>
      <x:c r="C131" s="16" t="n">
        <x:v>12809.4</x:v>
      </x:c>
      <x:c r="D131" s="16" t="n">
        <x:v>13110.1</x:v>
      </x:c>
      <x:c r="E131" s="16" t="n">
        <x:f>D131-C131</x:f>
        <x:v>300.7000000000007</x:v>
      </x:c>
      <x:c r="F131" s="17" t="n">
        <x:f>E131/C131</x:f>
        <x:v>0.023474948085000134</x:v>
      </x:c>
      <x:c r="G131" s="18" t="n">
        <x:v>2520</x:v>
      </x:c>
      <x:c r="H131" s="18" t="n">
        <x:v>2520</x:v>
      </x:c>
      <x:c r="I131" s="18" t="n">
        <x:f>H131-G131</x:f>
        <x:v>0</x:v>
      </x:c>
      <x:c r="J131" s="19" t="n">
        <x:f>10000*C131/G131</x:f>
        <x:v>50830.95238095238</x:v>
      </x:c>
      <x:c r="K131" s="19" t="n">
        <x:f>10000*D131/H131</x:f>
        <x:v>52024.206349206346</x:v>
      </x:c>
      <x:c r="L131" s="19" t="n">
        <x:f>K131-J131</x:f>
        <x:v>1193.2539682539646</x:v>
      </x:c>
      <x:c r="M131" s="14" t="str">
        <x:v>S1–S4</x:v>
      </x:c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55" hidden="0" customWidth="1"/>
    <x:col min="4" max="4" width="55" hidden="0" customWidth="1"/>
    <x:col min="5" max="5" width="9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3" t="str">
        <x:v>来源、版本与其他数据评估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8" customHeight="1">
      <x:c r="A4" s="6" t="str">
        <x:v>编号</x:v>
      </x:c>
      <x:c r="B4" s="6" t="str">
        <x:v>指标 / 候选</x:v>
      </x:c>
      <x:c r="C4" s="6" t="str">
        <x:v>证据与口径</x:v>
      </x:c>
      <x:c r="D4" s="6" t="str">
        <x:v>使用结论</x:v>
      </x:c>
      <x:c r="E4" s="6" t="str">
        <x:v>定位 / 哈希</x:v>
      </x:c>
      <x:c r="F4" s="2"/>
      <x:c r="G4" s="2"/>
      <x:c r="H4" s="2"/>
      <x:c r="I4" s="2"/>
      <x:c r="J4" s="2"/>
      <x:c r="K4" s="2"/>
      <x:c r="L4" s="2"/>
      <x:c r="M4" s="2"/>
    </x:row>
    <x:row r="5" ht="100" customHeight="1">
      <x:c r="A5" s="21" t="str">
        <x:v>S1</x:v>
      </x:c>
      <x:c r="B5" s="21" t="str">
        <x:v>新版地区生产总值</x:v>
      </x:c>
      <x:c r="C5" s="21" t="str">
        <x:v>国家统计局分省年度数据；31省2015—2018；亿元；页面注明第五次经济普查后系统修订1992—2023历史数据。</x:v>
      </x:c>
      <x:c r="D5" s="21" t="str">
        <x:v>纳入独立新表；确切发布日期未显示。</x:v>
      </x:c>
      <x:c r="E5" s="21" t="str">
        <x:v>https://data.stats.gov.cn/dg/website/page.html#/pc/national/fsYearData
证据：nbs_gdp_display.json、nbs_gdp_dom.txt</x:v>
      </x:c>
      <x:c r="F5" s="2"/>
      <x:c r="G5" s="2"/>
      <x:c r="H5" s="2"/>
      <x:c r="I5" s="2"/>
      <x:c r="J5" s="2"/>
      <x:c r="K5" s="2"/>
      <x:c r="L5" s="2"/>
      <x:c r="M5" s="2"/>
    </x:row>
    <x:row r="6" ht="100" customHeight="1">
      <x:c r="A6" s="21" t="str">
        <x:v>S2</x:v>
      </x:c>
      <x:c r="B6" s="21" t="str">
        <x:v>新版年末常住人口</x:v>
      </x:c>
      <x:c r="C6" s="21" t="str">
        <x:v>同一官方数据库；31省2015—2018；万人；常住人口口径；不除以三。</x:v>
      </x:c>
      <x:c r="D6" s="21" t="str">
        <x:v>纳入新表；与旧表124项全部一致。</x:v>
      </x:c>
      <x:c r="E6" s="21" t="str">
        <x:v>https://data.stats.gov.cn/dg/website/page.html#/pc/national/fsYearData
证据：nbs_population_display.json、nbs_population_dom.txt</x:v>
      </x:c>
      <x:c r="F6" s="2"/>
      <x:c r="G6" s="2"/>
      <x:c r="H6" s="2"/>
      <x:c r="I6" s="2"/>
      <x:c r="J6" s="2"/>
      <x:c r="K6" s="2"/>
      <x:c r="L6" s="2"/>
      <x:c r="M6" s="2"/>
    </x:row>
    <x:row r="7" ht="100" customHeight="1">
      <x:c r="A7" s="21" t="str">
        <x:v>S3</x:v>
      </x:c>
      <x:c r="B7" s="21" t="str">
        <x:v>旧GDP表</x:v>
      </x:c>
      <x:c r="C7" s="21" t="str">
        <x:v>Owner确认来自NBS直接下载；分省年度数据H等年度列；2015—2018源值与保留面板一致。</x:v>
      </x:c>
      <x:c r="D7" s="21" t="str">
        <x:v>保留旧值；124项差异属于版本差异，未发现处理错配。</x:v>
      </x:c>
      <x:c r="E7" s="21" t="str">
        <x:v>D:\MatlabProgram\2023年12月2日 多省份神经网络HANK\地区生产总值 亿元.xls
SHA256 0EA17C78F60054ACCA26D0B56402977E560EE3FF4B220D666A5D0E98178F83E7</x:v>
      </x:c>
      <x:c r="F7" s="2"/>
      <x:c r="G7" s="2"/>
      <x:c r="H7" s="2"/>
      <x:c r="I7" s="2"/>
      <x:c r="J7" s="2"/>
      <x:c r="K7" s="2"/>
      <x:c r="L7" s="2"/>
      <x:c r="M7" s="2"/>
    </x:row>
    <x:row r="8" ht="100" customHeight="1">
      <x:c r="A8" s="21" t="str">
        <x:v>S4</x:v>
      </x:c>
      <x:c r="B8" s="21" t="str">
        <x:v>旧人口表</x:v>
      </x:c>
      <x:c r="C8" s="21" t="str">
        <x:v>年末常住人口；万人；2015—2018源值与保留面板一致。</x:v>
      </x:c>
      <x:c r="D8" s="21" t="str">
        <x:v>保留旧值，不改原文件。</x:v>
      </x:c>
      <x:c r="E8" s="21" t="str">
        <x:v>D:\MatlabProgram\2023年12月2日 多省份神经网络HANK\年末常住人口 万人.xls
SHA256 565B83873D56B8F9770F46BF897452B08A8850A3A954519643C1370188C09CAA</x:v>
      </x:c>
      <x:c r="F8" s="2"/>
      <x:c r="G8" s="2"/>
      <x:c r="H8" s="2"/>
      <x:c r="I8" s="2"/>
      <x:c r="J8" s="2"/>
      <x:c r="K8" s="2"/>
      <x:c r="L8" s="2"/>
      <x:c r="M8" s="2"/>
    </x:row>
    <x:row r="9" ht="100" customHeight="1">
      <x:c r="A9" s="21" t="str">
        <x:v>S5</x:v>
      </x:c>
      <x:c r="B9" s="21" t="str">
        <x:v>GDP价格依据</x:v>
      </x:c>
      <x:c r="C9" s="21" t="str">
        <x:v>中国统计年鉴2023表3-9注：本表绝对数按当年价格计算，指数按不变价格计算。</x:v>
      </x:c>
      <x:c r="D9" s="21" t="str">
        <x:v>支持现价解释；新版数据库页面未独立标价，精确版本价格绑定待核实。</x:v>
      </x:c>
      <x:c r="E9" s="21" t="str">
        <x:v>https://www.stats.gov.cn/sj/ndsj/2023/html/C03-09.jpg</x:v>
      </x:c>
      <x:c r="F9" s="2"/>
      <x:c r="G9" s="2"/>
      <x:c r="H9" s="2"/>
      <x:c r="I9" s="2"/>
      <x:c r="J9" s="2"/>
      <x:c r="K9" s="2"/>
      <x:c r="L9" s="2"/>
      <x:c r="M9" s="2"/>
    </x:row>
    <x:row r="10" ht="100" customHeight="1">
      <x:c r="A10" s="21" t="str">
        <x:v>S6</x:v>
      </x:c>
      <x:c r="B10" s="21" t="str">
        <x:v>保留的旧处理面板</x:v>
      </x:c>
      <x:c r="C10" s="21" t="str">
        <x:v>248项原GDP/人口对照均一致；完整覆盖31省×4年。</x:v>
      </x:c>
      <x:c r="D10" s="21" t="str">
        <x:v>只读对照，未更新原面板。</x:v>
      </x:c>
      <x:c r="E10" s="21" t="str">
        <x:v>D:\ProjectTemp\c5k1bturn56\reports\mp4c_2018_raw_nbs_rebuild_20260910\cleaned_province_year_panel.csv
SHA256 774C357E9762A3DFD76373F3440EA8E1D32F2C23FB1F9CDC31A4D77FC9960A5F</x:v>
      </x:c>
      <x:c r="F10" s="2"/>
      <x:c r="G10" s="2"/>
      <x:c r="H10" s="2"/>
      <x:c r="I10" s="2"/>
      <x:c r="J10" s="2"/>
      <x:c r="K10" s="2"/>
      <x:c r="L10" s="2"/>
      <x:c r="M10" s="2"/>
    </x:row>
    <x:row r="11" ht="100" customHeight="1">
      <x:c r="A11" s="21" t="str">
        <x:v>P1</x:v>
      </x:c>
      <x:c r="B11" s="21" t="str">
        <x:v>已购人口与就业年鉴</x:v>
      </x:c>
      <x:c r="C11" s="21" t="str">
        <x:v>2015/16归档为嵌套zip/rar；2017/18含表格，但条目中文编码不可靠。年鉴年份不等于数据年份。</x:v>
      </x:c>
      <x:c r="D11" s="21" t="str">
        <x:v>未核验具体人口表题与年份；暂不补入数值。</x:v>
      </x:c>
      <x:c r="E11" s="21" t="str">
        <x:v>D:\BaiduNetdiskDownload\NJ73-中国人口与就业统计年鉴1949-2023年</x:v>
      </x:c>
      <x:c r="F11" s="2"/>
      <x:c r="G11" s="2"/>
      <x:c r="H11" s="2"/>
      <x:c r="I11" s="2"/>
      <x:c r="J11" s="2"/>
      <x:c r="K11" s="2"/>
      <x:c r="L11" s="2"/>
      <x:c r="M11" s="2"/>
    </x:row>
    <x:row r="12" ht="100" customHeight="1">
      <x:c r="A12" s="21" t="str">
        <x:v>P2</x:v>
      </x:c>
      <x:c r="B12" s="21" t="str">
        <x:v>已购分省三次产业就业数据</x:v>
      </x:c>
      <x:c r="C12" s="21" t="str">
        <x:v>表中字段为就业人员、三次产业就业人数及占比；单位万人/百分比；销售方注明中国统计年鉴及省年鉴。</x:v>
      </x:c>
      <x:c r="D12" s="21" t="str">
        <x:v>可作就业辅助候选；缺逐项年鉴版本/表号/补数映射，不替代常住人口。</x:v>
      </x:c>
      <x:c r="E12" s="21" t="str">
        <x:v>D:\BaiduNetdiskDownload\sj10-分省份按三次产业分从业人员数（就业人员数）1985-2024年数据\分省份按三次产业分从业人员数（就业人员数）1985-2024年数据.xlsx</x:v>
      </x:c>
      <x:c r="F12" s="2"/>
      <x:c r="G12" s="2"/>
      <x:c r="H12" s="2"/>
      <x:c r="I12" s="2"/>
      <x:c r="J12" s="2"/>
      <x:c r="K12" s="2"/>
      <x:c r="L12" s="2"/>
      <x:c r="M12" s="2"/>
    </x:row>
    <x:row r="13" ht="100" customHeight="1">
      <x:c r="A13" s="21" t="str">
        <x:v>U1</x:v>
      </x:c>
      <x:c r="B13" s="21" t="str">
        <x:v>资本、TFP等其他指标</x:v>
      </x:c>
      <x:c r="C13" s="21" t="str">
        <x:v>本轮未定位可独立核验的省级同口径修订来源；市级固定资产投资不等于省级固定资本形成，市级TFP不等于HANK生产率。</x:v>
      </x:c>
      <x:c r="D13" s="21" t="str">
        <x:v>本轮不填入、更不推算校准。</x:v>
      </x:c>
      <x:c r="E13" s="21" t="str">
        <x:v>仅记录口径缺口；未打开其他付费目录</x:v>
      </x:c>
      <x:c r="F13" s="2"/>
      <x:c r="G13" s="2"/>
      <x:c r="H13" s="2"/>
      <x:c r="I13" s="2"/>
      <x:c r="J13" s="2"/>
      <x:c r="K13" s="2"/>
      <x:c r="L13" s="2"/>
      <x:c r="M13" s="2"/>
    </x:row>
    <x:row r="14" ht="100" customHeight="1">
      <x:c r="A14" s="21" t="str">
        <x:v>U2</x:v>
      </x:c>
      <x:c r="B14" s="21" t="str">
        <x:v>模型与论文门</x:v>
      </x:c>
      <x:c r="C14" s="21" t="str">
        <x:v>本工作簿只记录数据和算术代理；没有phi矩阵、模型执行、校准或Results。</x:v>
      </x:c>
      <x:c r="D14" s="21" t="str">
        <x:v>C9暂停；旧调用账本未解决；Results eligibility FALSE。</x:v>
      </x:c>
      <x:c r="E14" s="21" t="str">
        <x:v>下一步：价格/版本绑定与数据采纳审查；程序接入需另行任务。</x:v>
      </x:c>
      <x:c r="F14" s="2"/>
      <x:c r="G14" s="2"/>
      <x:c r="H14" s="2"/>
      <x:c r="I14" s="2"/>
      <x:c r="J14" s="2"/>
      <x:c r="K14" s="2"/>
      <x:c r="L14" s="2"/>
      <x:c r="M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</x:row>
  </x:sheetData>
  <x:pageMargins left="0.7" right="0.7" top="0.75" bottom="0.75" header="0.3" footer="0.3"/>
</x:worksheet>
</file>